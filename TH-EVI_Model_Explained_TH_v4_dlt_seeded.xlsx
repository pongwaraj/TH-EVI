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H-EVI\"/>
    </mc:Choice>
  </mc:AlternateContent>
  <xr:revisionPtr revIDLastSave="0" documentId="13_ncr:1_{1CD4C66E-7A52-4CF5-B120-E58BE723001A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1.ภาพรวม" sheetId="1" r:id="rId1"/>
    <sheet name="2.สมมติฐาน" sheetId="2" r:id="rId2"/>
    <sheet name="3.S-curve การยอมรับ" sheetId="3" r:id="rId3"/>
    <sheet name="4.Demand สถานี" sheetId="4" r:id="rId4"/>
    <sheet name="5.Validation" sheetId="5" r:id="rId5"/>
    <sheet name="6.เทียบ NREL" sheetId="6" r:id="rId6"/>
    <sheet name="7.Data Verification" sheetId="7" r:id="rId7"/>
    <sheet name="8.Reviewer Notes" sheetId="8" r:id="rId8"/>
  </sheets>
  <calcPr calcId="191029" iterateDelta="1E-4" forceFullCalc="1"/>
</workbook>
</file>

<file path=xl/calcChain.xml><?xml version="1.0" encoding="utf-8"?>
<calcChain xmlns="http://schemas.openxmlformats.org/spreadsheetml/2006/main">
  <c r="C11" i="4" l="1"/>
  <c r="C10" i="4"/>
  <c r="C9" i="4"/>
  <c r="C7" i="4"/>
  <c r="C8" i="4" s="1"/>
  <c r="C12" i="4" s="1"/>
  <c r="C13" i="4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F13" i="3"/>
  <c r="C13" i="3"/>
  <c r="C12" i="3"/>
  <c r="C11" i="3"/>
  <c r="C10" i="3"/>
  <c r="C9" i="3"/>
  <c r="C8" i="3"/>
  <c r="C7" i="3"/>
  <c r="C6" i="3"/>
  <c r="C5" i="3"/>
  <c r="E14" i="5"/>
  <c r="C9" i="5"/>
  <c r="E8" i="5"/>
  <c r="E7" i="5"/>
  <c r="E6" i="5"/>
  <c r="C10" i="5" l="1"/>
  <c r="E27" i="3"/>
  <c r="D13" i="3"/>
  <c r="D12" i="3"/>
  <c r="E26" i="3"/>
  <c r="C14" i="4"/>
  <c r="C15" i="4"/>
  <c r="G13" i="3"/>
  <c r="F14" i="3"/>
  <c r="D11" i="3"/>
  <c r="E25" i="3"/>
  <c r="E24" i="3"/>
  <c r="D10" i="3"/>
  <c r="E23" i="3"/>
  <c r="D9" i="3"/>
  <c r="E22" i="3"/>
  <c r="D8" i="3"/>
  <c r="E21" i="3"/>
  <c r="D7" i="3"/>
  <c r="E20" i="3"/>
  <c r="D6" i="3"/>
  <c r="E19" i="3"/>
  <c r="D5" i="3"/>
  <c r="F5" i="3" s="1"/>
  <c r="G14" i="3" l="1"/>
  <c r="F15" i="3"/>
  <c r="G5" i="3"/>
  <c r="F6" i="3"/>
  <c r="G15" i="3" l="1"/>
  <c r="F16" i="3"/>
  <c r="G6" i="3"/>
  <c r="F7" i="3"/>
  <c r="G16" i="3" l="1"/>
  <c r="F17" i="3"/>
  <c r="G7" i="3"/>
  <c r="F8" i="3"/>
  <c r="G17" i="3" l="1"/>
  <c r="F18" i="3"/>
  <c r="G8" i="3"/>
  <c r="F9" i="3"/>
  <c r="G18" i="3" l="1"/>
  <c r="F19" i="3"/>
  <c r="G9" i="3"/>
  <c r="F10" i="3"/>
  <c r="G19" i="3" l="1"/>
  <c r="F20" i="3"/>
  <c r="G10" i="3"/>
  <c r="F11" i="3"/>
  <c r="G20" i="3" l="1"/>
  <c r="F21" i="3"/>
  <c r="G11" i="3"/>
  <c r="F12" i="3"/>
  <c r="G12" i="3" s="1"/>
  <c r="G21" i="3" l="1"/>
  <c r="F22" i="3"/>
  <c r="G22" i="3" l="1"/>
  <c r="F23" i="3"/>
  <c r="G23" i="3" l="1"/>
  <c r="F24" i="3"/>
  <c r="G24" i="3" l="1"/>
  <c r="F25" i="3"/>
  <c r="G25" i="3" l="1"/>
  <c r="F26" i="3"/>
  <c r="G26" i="3" l="1"/>
  <c r="F27" i="3"/>
  <c r="G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verification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อย่าให้ที่ปรึกษาเข้าใจว่า S-curve stock ปัจจุบัน match DLT แล้ว; v3 ระบุชัดว่า DLT actual เป็น calibration target.</t>
        </r>
      </text>
    </comment>
  </commentList>
</comments>
</file>

<file path=xl/sharedStrings.xml><?xml version="1.0" encoding="utf-8"?>
<sst xmlns="http://schemas.openxmlformats.org/spreadsheetml/2006/main" count="387" uniqueCount="295">
  <si>
    <t>ชั้นความน่าเชื่อถือ : การทวนสอบกับข้อมูลจริง</t>
  </si>
  <si>
    <t>เทียบโมเดลกับข้อมูลจริง พร้อมตัวชี้วัด MAPE / RMSE และสถานะ cross-validation อย่างตรงไปตรงมา</t>
  </si>
  <si>
    <t>A. ชั้น Adoption — S-curve เทียบยอด BEV จริง (FTI/Autolife)</t>
  </si>
  <si>
    <t>ปี</t>
  </si>
  <si>
    <t>คาดการณ์ %</t>
  </si>
  <si>
    <t>จริง %</t>
  </si>
  <si>
    <t>คลาดเคลื่อน (pp)</t>
  </si>
  <si>
    <t>แหล่งอ้างอิง</t>
  </si>
  <si>
    <t>2566 (2023)</t>
  </si>
  <si>
    <t>76,500 คัน BEV</t>
  </si>
  <si>
    <t>2567 (2024)</t>
  </si>
  <si>
    <t>70,137 คัน (เปลี่ยนเงินอุดหนุน)</t>
  </si>
  <si>
    <t>2568 (2025)</t>
  </si>
  <si>
    <t>120,301 คัน (FTI เต็มปี)</t>
  </si>
  <si>
    <t>MAPE (เฉลี่ย % คลาดเคลื่อน)</t>
  </si>
  <si>
    <t>RMSE (pp)</t>
  </si>
  <si>
    <t>B. ชั้น Station — เทียบกับ temporary calibration anchor</t>
  </si>
  <si>
    <t>สถานี</t>
  </si>
  <si>
    <t>จริง (ครั้ง/วัน)</t>
  </si>
  <si>
    <t>โมเดล (ครั้ง/วัน)</t>
  </si>
  <si>
    <t>คลาดเคลื่อน</t>
  </si>
  <si>
    <t>แหล่ง</t>
  </si>
  <si>
    <t>CM Cultural Center Hub</t>
  </si>
  <si>
    <t>Operator-reported / verbal anchor 2026; ยังไม่ยืนยันด้วย session log</t>
  </si>
  <si>
    <t>ความซื่อสัตย์ของการทวนสอบ: station layer มี temporary calibration anchor 1 จุด (130 ครั้ง/วัน ยังไม่ยืนยัน) และมีพารามิเตอร์อิสระ 1 ตัว จึงเป็น just-identified ไม่สามารถประเมิน out-of-sample error ได้. ต้องเก็บ session log/kWh/day/peak profile จากอย่างน้อย 5-10 สถานี และทำ sensitivity 130/200/300 สำหรับ anchor ปัจจุบัน</t>
  </si>
  <si>
    <t>TH-EVI : โมเดลประมาณการความต้องการสถานีชาร์จ EV ของไทย</t>
  </si>
  <si>
    <t>Thailand EV Infrastructure Projection Model  •  แรงบันดาลใจจาก NREL EVI-Pro  •  นำร่องจังหวัดเชียงใหม่</t>
  </si>
  <si>
    <t>โมเดลนี้คืออะไร</t>
  </si>
  <si>
    <t>TH-EVI ประเมินความต้องการชาร์จ EV ต่อวันโดยใช้ข้อมูลไทยที่ตรวจสอบได้: DOPA 2568, DLT เม.ย. 2569 และ AADT กรมทางหลวง 2566. v4 ปรับ adoption table ให้ใช้ DLT BEV+PHEV สะสมของเชียงใหม่ 15,229 คันเป็น seed ปี 2026 แทนการอาศัย legacy placeholder</t>
  </si>
  <si>
    <t>โครงสร้าง 4 ชั้น (Layer) ของโมเดล</t>
  </si>
  <si>
    <t>ชั้น</t>
  </si>
  <si>
    <t>หน้าที่</t>
  </si>
  <si>
    <t>อินพุตหลัก</t>
  </si>
  <si>
    <t>ผลลัพธ์</t>
  </si>
  <si>
    <t>1. Adoption</t>
  </si>
  <si>
    <t>พยากรณ์สัดส่วน BEV ในรถใหม่ด้วย S-curve (logistic)</t>
  </si>
  <si>
    <t>ข้อมูล FTI ปี 2566-2568</t>
  </si>
  <si>
    <t>% BEV รายปี + EV สะสมในจังหวัด</t>
  </si>
  <si>
    <t>2. Demand</t>
  </si>
  <si>
    <t>แปลงปริมาณจราจร/ประชากร EV เป็นครั้งชาร์จ/วัน</t>
  </si>
  <si>
    <t>AADT, ประชากร EV, prob.ชาร์จ</t>
  </si>
  <si>
    <t>จำนวนครั้งที่ชาร์จ/วัน, kWh/วัน</t>
  </si>
  <si>
    <t>3. Site</t>
  </si>
  <si>
    <t>ปรับด้วยทำเล การมองเห็น สถานีคู่แข่ง</t>
  </si>
  <si>
    <t>คะแนนทำเล, คู่แข่งรอบข้าง</t>
  </si>
  <si>
    <t>ส่วนแบ่งตลาดที่สถานีแย่งได้จริง</t>
  </si>
  <si>
    <t>4. Temporal</t>
  </si>
  <si>
    <t>กระจายรายชั่วโมง + คิวด้วย Erlang-C</t>
  </si>
  <si>
    <t>จำนวนหัวชาร์จที่ต้องมี</t>
  </si>
  <si>
    <t>สูตรแกนกลาง</t>
  </si>
  <si>
    <t>ความต้องการพื้นที่:  EV visits/วัน = AADT × สัดส่วน EV ในกลุ่มรถ(ปี) × ความน่าจะเป็นที่รถจะมาชาร์จ</t>
  </si>
  <si>
    <t>ความต้องการสถานี: จำนวนครั้งที่ชาร์จ/วัน = (ผู้อยู่อาศัย + แอพเรียกรถ + นักท่องเที่ยว + ขนส่ง) × calibration factor โดย calibration factor ปัจจุบันเป็น temporary anchor จากข้อมูลสถานี 1 จุดที่ยังต้องยืนยัน</t>
  </si>
  <si>
    <t>ความน่าเชื่อถือโดยสรุป (รายละเอียดในชีต '5.Validation')</t>
  </si>
  <si>
    <t>ตัวชี้วัด</t>
  </si>
  <si>
    <t>ค่า</t>
  </si>
  <si>
    <t>หมายเหตุ</t>
  </si>
  <si>
    <t>Adoption MAPE</t>
  </si>
  <si>
    <t>8.5%</t>
  </si>
  <si>
    <t>เทียบ S-curve กับยอด BEV จริงของ FTI ปี 2566-2568</t>
  </si>
  <si>
    <t>Adoption RMSE</t>
  </si>
  <si>
    <t>1.49 pp</t>
  </si>
  <si>
    <t>คลาดเคลื่อนเฉลี่ยระดับจุดเปอร์เซ็นต์</t>
  </si>
  <si>
    <t>Station calibration</t>
  </si>
  <si>
    <t>0.657 (temporary)</t>
  </si>
  <si>
    <t>temporary calibration anchor; ยังไม่ใช่ ground truth ที่ยืนยันครบ</t>
  </si>
  <si>
    <t>สถานะ validation สถานี</t>
  </si>
  <si>
    <t>Just-identified</t>
  </si>
  <si>
    <t>ต้องเก็บอีก ≥4 สถานีจึงประเมิน out-of-sample ได้</t>
  </si>
  <si>
    <t>สมมติฐานทั้งหมด</t>
  </si>
  <si>
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</si>
  <si>
    <t>พารามิเตอร์</t>
  </si>
  <si>
    <t>หน่วย</t>
  </si>
  <si>
    <t>แหล่งที่มา / เหตุผล</t>
  </si>
  <si>
    <t>A. พารามิเตอร์ S-curve การยอมรับ EV (logistic)</t>
  </si>
  <si>
    <t>เพดานสูงสุด (carrying capacity)</t>
  </si>
  <si>
    <t>สัดส่วน</t>
  </si>
  <si>
    <t>สมมติ BEV ถึง 85% ของรถใหม่เมื่ออิ่มตัว (อิง 30@30 + แนวโน้มโลก)</t>
  </si>
  <si>
    <t>อัตราการเติบโต (growth rate)</t>
  </si>
  <si>
    <t>ต่อปี</t>
  </si>
  <si>
    <t>ปรับด้วย scipy least-squares กับข้อมูล FTI รายปี 2566-2568</t>
  </si>
  <si>
    <t>ปีกึ่งกลาง (midpoint 50%)</t>
  </si>
  <si>
    <t>ค.ศ.</t>
  </si>
  <si>
    <t>ปีที่ถึง 50% ของเพดาน — สอดคล้องเป้า 30@30 (2030≈35%)</t>
  </si>
  <si>
    <t>ตัวปรับระดับจังหวัด (เชียงใหม่)</t>
  </si>
  <si>
    <t>x</t>
  </si>
  <si>
    <t>ใช้ฐาน ร.1 ระดับชาติโดยตรง (แก้ denominator ผสมเดิม 0.40)</t>
  </si>
  <si>
    <t>ฐานรถใหม่ ร.1 ต่อปีของ S-curve เดิม (legacy placeholder)</t>
  </si>
  <si>
    <t>คัน/ปี</t>
  </si>
  <si>
    <t>คงไว้เพื่ออธิบายสูตร new-BEV รายปีเท่านั้น; ไม่ใช่ BEV สะสม และไม่ใช้แทนค่า DLT stock</t>
  </si>
  <si>
    <t>ขนาดกลุ่มรถยนต์นั่งรวม รย.1</t>
  </si>
  <si>
    <t>คัน</t>
  </si>
  <si>
    <t>Verified DLT 30 เม.ย. 2569; ใช้เป็น denominator ของ EV penetration</t>
  </si>
  <si>
    <t>อายุปลดระวางรถ (scrappage)</t>
  </si>
  <si>
    <t>ใช้ cohort retirement หลัง 14 ปีในโมเดลสาธิตนี้; หากต้องการความสมจริงควรเปลี่ยนเป็น gradual scrappage หรือใช้ทะเบียนสะสมจริง</t>
  </si>
  <si>
    <t>C. ความน่าจะเป็นที่จะชาร์จ ตามประเภททำเล</t>
  </si>
  <si>
    <t>ทางหลวง (highway)</t>
  </si>
  <si>
    <t>รถวิ่งผ่าน ส่วนน้อยแวะชาร์จด่วน</t>
  </si>
  <si>
    <t>ใจกลางเมือง (city center)</t>
  </si>
  <si>
    <t>ความหนาแน่นสูง แวะปานกลาง</t>
  </si>
  <si>
    <t>จุดหมายปลายทาง (destination)</t>
  </si>
  <si>
    <t>ห้าง/สนามบิน จอดนานโอกาสชาร์จสูง</t>
  </si>
  <si>
    <t>ชานเมือง (suburban)</t>
  </si>
  <si>
    <t>สมมติฐานนำร่อง</t>
  </si>
  <si>
    <t>D. สถานี ฉากทัศน์ Base</t>
  </si>
  <si>
    <t>สัดส่วนพึ่งชาร์จสาธารณะ</t>
  </si>
  <si>
    <t>ผู้ใช้ EV ที่ไม่มีที่ชาร์จบ้านเพียงพอ</t>
  </si>
  <si>
    <t>ครั้งชาร์จสาธารณะ/สัปดาห์</t>
  </si>
  <si>
    <t>ครั้ง</t>
  </si>
  <si>
    <t>พฤติกรรมผู้อยู่อาศัย</t>
  </si>
  <si>
    <t>capture ผู้อยู่อาศัย</t>
  </si>
  <si>
    <t>ส่วนแบ่งที่สถานีนี้แย่งได้</t>
  </si>
  <si>
    <t>คนขับแพลตฟอร์มเรียกรถในพื้นที่</t>
  </si>
  <si>
    <t>คน</t>
  </si>
  <si>
    <t>ประมาณการ Grab/Bolt/In Driver เชียงใหม่</t>
  </si>
  <si>
    <t>สัดส่วน EV ในเรียกรถ</t>
  </si>
  <si>
    <t>ฐานปี 2026</t>
  </si>
  <si>
    <t>นักท่องเที่ยวมาถึง/วัน</t>
  </si>
  <si>
    <t>คน/วัน</t>
  </si>
  <si>
    <t>ประมาณการ ททท. เชียงใหม่</t>
  </si>
  <si>
    <t>calibration factor</t>
  </si>
  <si>
    <t>temporary calibration factor จาก operator-reported/verbal anchor 130 ครั้ง/วัน; ต้องทำ sensitivity 130/200/300</t>
  </si>
  <si>
    <t>kWh เฉลี่ย/ครั้ง (สถานี)</t>
  </si>
  <si>
    <t>kWh</t>
  </si>
  <si>
    <t>base case</t>
  </si>
  <si>
    <t>ครั้ง/หัวชาร์จ/วัน (ความจุ)</t>
  </si>
  <si>
    <t>เพดานความจุต่อหัว</t>
  </si>
  <si>
    <t>E. Verified public data สำหรับ consultant review</t>
  </si>
  <si>
    <t>DOPA จังหวัดเชียงใหม่</t>
  </si>
  <si>
    <t>DOPA 2568</t>
  </si>
  <si>
    <t>ครัวเรือน 916,688</t>
  </si>
  <si>
    <t>DLT รย.1 รถยนต์นั่งรวม</t>
  </si>
  <si>
    <t>DLT 30 เม.ย. 2569</t>
  </si>
  <si>
    <t>ใช้เป็น denominator ของ passenger-car EV share</t>
  </si>
  <si>
    <t>DLT รย.1 BEV</t>
  </si>
  <si>
    <t>BEV share 2.89%</t>
  </si>
  <si>
    <t>DLT รย.1 PHEV</t>
  </si>
  <si>
    <t>PHEV gasoline + PHEV diesel</t>
  </si>
  <si>
    <t>DLT รย.1 BEV+PHEV</t>
  </si>
  <si>
    <t>chargeable share 3.36%</t>
  </si>
  <si>
    <t>DLT รถตามกฎหมายรถยนต์ BEV+PHEV</t>
  </si>
  <si>
    <t>ใช้สำหรับภาพรวมจังหวัด ไม่ใช่เฉพาะ รย.1</t>
  </si>
  <si>
    <t>AADT Route 1141 ดอนจั่น-เชียงใหม่</t>
  </si>
  <si>
    <t>คัน/วัน</t>
  </si>
  <si>
    <t>DOH AADT 2566</t>
  </si>
  <si>
    <t>จุดสำรวจ 7+000</t>
  </si>
  <si>
    <t>Model treatment v4</t>
  </si>
  <si>
    <t>ใช้ DLT BEV+PHEV สะสมเป็น seed ของปี 2026</t>
  </si>
  <si>
    <t>แทนการปล่อยให้ตารางสะสมจาก legacy placeholder 6,200 ซึ่งทำให้ stock ต่ำกว่าค่าจริง</t>
  </si>
  <si>
    <t>AADT Route 11 อุโมงค์-รินคำ</t>
  </si>
  <si>
    <t>จุดสำรวจ 543+850</t>
  </si>
  <si>
    <t>ชั้นที่ 1 : S-curve การยอมรับ EV (logistic)</t>
  </si>
  <si>
    <t>สูตร: สัดส่วน BEV รถใหม่ = เพดาน ÷ (1+EXP(-growth×(ปี-midpoint))) × ตัวปรับจังหวัด. v4 ใช้ DLT เม.ย. 2569 เป็น calibration seed: รย.1 BEV 13,089 + PHEV 2,140 = 15,229 คัน สำหรับ EV สะสมปี 2026 แล้ว forecast ต่อจากจุดนี้</t>
  </si>
  <si>
    <t>สัดส่วน BEV รถใหม่</t>
  </si>
  <si>
    <t>BEV ใหม่/ปีจาก S-curve (คัน)</t>
  </si>
  <si>
    <t>ปลดระวาง/ปี (คัน)</t>
  </si>
  <si>
    <t>EV สะสมในกลุ่มรถ / DLT-seeded stock</t>
  </si>
  <si>
    <t>สัดส่วน EV ในกลุ่มรถ</t>
  </si>
  <si>
    <t>สถานะข้อมูล</t>
  </si>
  <si>
    <t>2018</t>
  </si>
  <si>
    <t>ย้อนหลังก่อน seed; ใช้ดูแนวโน้มเท่านั้น</t>
  </si>
  <si>
    <t>2019</t>
  </si>
  <si>
    <t>2020</t>
  </si>
  <si>
    <t>2021</t>
  </si>
  <si>
    <t>2022</t>
  </si>
  <si>
    <t>2023</t>
  </si>
  <si>
    <t>2024</t>
  </si>
  <si>
    <t>2025</t>
  </si>
  <si>
    <t>2026</t>
  </si>
  <si>
    <t>Seed จาก DLT BEV+PHEV สะสม</t>
  </si>
  <si>
    <t>2027</t>
  </si>
  <si>
    <t>Forecast ต่อจาก DLT seed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</si>
  <si>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</si>
  <si>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</si>
  <si>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</si>
  <si>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</si>
  <si>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</si>
  <si>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</si>
  <si>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</si>
  <si>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</si>
  <si>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</si>
  <si>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</si>
  <si>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</si>
  <si>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</si>
  <si>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</si>
  <si>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หมายเหตุ v4: ค่า 6,200 ในชีตสมมติฐานเป็น legacy placeholder สำหรับ new-car scaling เท่านั้น ไม่ใช่จำนวน BEV สะสม. ตั้งแต่ปี 2026 ตารางใช้ DLT BEV+PHEV สะสม 15,229 คันเป็น seed แล้วค่อย forecast ต่อ</t>
  </si>
  <si>
    <t>ชั้นที่ 2 : ความต้องการสถานี (4 องค์ประกอบ)</t>
  </si>
  <si>
    <t>ตัวอย่างสถานี Super Hub 12 หัวชาร์จ — ใช้เพื่ออธิบาย logic ของโมเดล ไม่ใช่ผลยืนยันเชิงสถิติ</t>
  </si>
  <si>
    <t>ปีที่วิเคราะห์ →</t>
  </si>
  <si>
    <t>องค์ประกอบ</t>
  </si>
  <si>
    <t>ครั้ง/วัน</t>
  </si>
  <si>
    <t>คำอธิบายสูตร</t>
  </si>
  <si>
    <t>EV สะสมในเชียงใหม่ (ปีที่เลือก)</t>
  </si>
  <si>
    <t>ดึงจากตาราง S-curve ตามปี</t>
  </si>
  <si>
    <t>1. ผู้อยู่อาศัย (resident)</t>
  </si>
  <si>
    <t>2. แอพเรียกรถ (ride-hail)</t>
  </si>
  <si>
    <t>คนขับ × %EV × ครั้ง/วัน × capture(0.30)</t>
  </si>
  <si>
    <t>3. นักท่องเที่ยว (tourist)</t>
  </si>
  <si>
    <t>มาถึง × เช่า10% × 4วัน × EV5% × 0.5/วัน × สาธารณะ30% × capture25%</t>
  </si>
  <si>
    <t>4. ขนส่ง (transit)</t>
  </si>
  <si>
    <t>EV ขนส่ง 20 × capture 0.25</t>
  </si>
  <si>
    <t>รวมดิบ (ก่อน calibration)</t>
  </si>
  <si>
    <t>ครั้งชาร์จ/วัน (หลัง calibration ×0.657)</t>
  </si>
  <si>
    <t>พลังงาน/วัน (kWh)</t>
  </si>
  <si>
    <t>อัตราใช้งาน (12 หัว × 22 ครั้ง)</t>
  </si>
  <si>
    <t>เปลี่ยนปีในช่อง C4 เพื่อดูความต้องการปีต่าง ๆ. ค่า 2026 ประมาณ 130 ครั้ง/วันเป็น temporary calibration anchor จากข้อมูล operator-reported / verbal report ที่ยังไม่ยืนยัน. Platform operator แจ้งว่าอาจสูงกว่าและอาจอยู่ช่วง 200-300 ครั้ง/วัน จึงควรทำ sensitivity 130/200/300 และไม่ควรใช้ 130 เป็น ground truth เดียว</t>
  </si>
  <si>
    <t>TH-EVI เทียบกับ NREL EVI-Pro</t>
  </si>
  <si>
    <t>หลักการบางส่วนสอดคล้องกับ NREL EVI-Pro/EVI-X แต่ TH-EVI ยังเป็น transparent screening model ที่ต้องเพิ่ม station ground truth</t>
  </si>
  <si>
    <t>หัวข้อ</t>
  </si>
  <si>
    <t>NREL EVI-Pro</t>
  </si>
  <si>
    <t>TH-EVI (ของเรา)</t>
  </si>
  <si>
    <t>แนวคิดหลัก</t>
  </si>
  <si>
    <t>ประมาณความต้องการโครงสร้างชาร์จจากพฤติกรรมการเดินทางของกลุ่มรถ EV</t>
  </si>
  <si>
    <t>ใช้แนวคิดเดียวกัน: กลุ่มรถ EV → ความต้องการชาร์จเชิงพื้นที่/เวลา</t>
  </si>
  <si>
    <t>ข้อมูลกองรถ</t>
  </si>
  <si>
    <t>ข้อมูลสำรวจการเดินทางสหรัฐ (NHTS), การจดทะเบียนรัฐ</t>
  </si>
  <si>
    <t>DOPA 2568, DLT เม.ย. 2569, FTI/Autolife, DOH AADT 2566; station usage ยังเป็น temporary anchor</t>
  </si>
  <si>
    <t>พยากรณ์การยอมรับ</t>
  </si>
  <si>
    <t>ฉากทัศน์ภายนอก</t>
  </si>
  <si>
    <t>S-curve logistic calibrate กับข้อมูล FTI รายปี (MAPE 8.5%)</t>
  </si>
  <si>
    <t>ปริมาณจราจร</t>
  </si>
  <si>
    <t>แบบจำลองการเดินทางระดับเขต</t>
  </si>
  <si>
    <t>AADT จริงจากกรมทางหลวง (DOH) รายเส้นทาง</t>
  </si>
  <si>
    <t>การจัดคิว/หัวชาร์จ</t>
  </si>
  <si>
    <t>จำลองพฤติกรรมการเสียบชาร์จ</t>
  </si>
  <si>
    <t>Erlang-C คิดระดับบริการ (P(wait)≤10%, รอ&lt;10 นาที)</t>
  </si>
  <si>
    <t>การปรับเทียบ</t>
  </si>
  <si>
    <t>calibrate กับข้อมูลใช้งานจริงขนาดใหญ่</t>
  </si>
  <si>
    <t>temporary calibration factor เดียว + sensitivity 130/200/300 + แผนขยายเป็น LOO CV</t>
  </si>
  <si>
    <t>ความโปร่งใส</t>
  </si>
  <si>
    <t>เอกสารวิชาการ + เครื่องมือ</t>
  </si>
  <si>
    <t>ทุกสมมติฐานเปิดในชีตเดียว แก้แล้วทั้งโมเดลอัปเดต</t>
  </si>
  <si>
    <t>สรุป: TH-EVI เป็น NREL-inspired transparent screening model ไม่ใช่ NREL full simulation. ชั้น public data (DOPA/DLT/AADT) ได้ verify แล้วใน v3; ชั้น station calibration ยังต้องเพิ่มข้อมูลจริงเพื่อยืนยันความแม่นยำ</t>
  </si>
  <si>
    <t>หมวด</t>
  </si>
  <si>
    <t>รายการ</t>
  </si>
  <si>
    <t>แหล่งที่มา</t>
  </si>
  <si>
    <t>สถานะ</t>
  </si>
  <si>
    <t>DOPA</t>
  </si>
  <si>
    <t>ประชากรจังหวัดเชียงใหม่</t>
  </si>
  <si>
    <t>Verified</t>
  </si>
  <si>
    <t>DLT</t>
  </si>
  <si>
    <t>รย.1 รถยนต์นั่งรวม</t>
  </si>
  <si>
    <t>denominator หลักสำหรับ passenger-car EV share</t>
  </si>
  <si>
    <t>รย.1 BEV</t>
  </si>
  <si>
    <t>รย.1 PHEV</t>
  </si>
  <si>
    <t>รย.1 BEV+PHEV</t>
  </si>
  <si>
    <t>chargeable EV stock = 3.36% ของ รย.1</t>
  </si>
  <si>
    <t>รถตามกฎหมายรถยนต์ BEV+PHEV</t>
  </si>
  <si>
    <t>ภาพรวมรถตามกฎหมายว่าด้วยรถยนต์</t>
  </si>
  <si>
    <t>AADT</t>
  </si>
  <si>
    <t>Route 1141 ดอนจั่น-เชียงใหม่ 7+000</t>
  </si>
  <si>
    <t>ค่าสูงสุดในเชียงใหม่ชุดปัจจุบัน</t>
  </si>
  <si>
    <t>Route 118 เชียงใหม่-ดอยนางแก้ว 0+500</t>
  </si>
  <si>
    <t>corridor เชียงใหม่-เชียงราย</t>
  </si>
  <si>
    <t>Route 11 อุโมงค์-รินคำ 543+850</t>
  </si>
  <si>
    <t>urban/corridor core</t>
  </si>
  <si>
    <t>Route 108 เชียงใหม่-ปากทางท่าลี่ 7+650</t>
  </si>
  <si>
    <t>south/west corridor</t>
  </si>
  <si>
    <t>Station</t>
  </si>
  <si>
    <t>CM Cultural Center anchor</t>
  </si>
  <si>
    <t>130 / 200-300 sensitivity</t>
  </si>
  <si>
    <t>operator-reported/verbal</t>
  </si>
  <si>
    <t>Unverified</t>
  </si>
  <si>
    <t>ไม่ควรใช้เป็น ground truth จนกว่าจะได้ log จริง</t>
  </si>
  <si>
    <t>ระดับ</t>
  </si>
  <si>
    <t>ประเด็น</t>
  </si>
  <si>
    <t>คำแนะนำ</t>
  </si>
  <si>
    <t>สำคัญมาก</t>
  </si>
  <si>
    <t>130 ครั้ง/วัน ยังไม่ใช่ ground truth</t>
  </si>
  <si>
    <t>Station validation ยัง just-identified</t>
  </si>
  <si>
    <t>มีข้อมูลสถานี 1 จุดและ calibration factor 1 ตัว จึง fit ได้พอดีแต่ยังวัดความแม่นนอกตัวอย่างไม่ได้</t>
  </si>
  <si>
    <t>สำคัญ</t>
  </si>
  <si>
    <t>ประโยค 'ทุกตัวเลขมาจากแหล่งเปิดที่ตรวจสอบได้' overclaim</t>
  </si>
  <si>
    <t>ควรแยก public reference data กับ operator-reported/unverified station data</t>
  </si>
  <si>
    <t>S-curve ย้อนหลังทำให้ปี 2018-2022 มี BEV share สูงเกินจริง</t>
  </si>
  <si>
    <t>ควรพิจารณาเริ่มสะสม EV จากปีที่มีข้อมูลจริง หรือ seed ด้วย DLT BEV stock แล้ว forecast ต่อ</t>
  </si>
  <si>
    <t>กลาง</t>
  </si>
  <si>
    <t>Scrappage wording ไม่ตรงกับสูตร</t>
  </si>
  <si>
    <t>สูตรเป็น cohort retirement หลัง 14 ปี ไม่ใช่ linear scrappage; ให้แก้คำหรือปรับสูตร</t>
  </si>
  <si>
    <t>NREL wording</t>
  </si>
  <si>
    <t>ใช้คำว่า NREL-inspired / EVI-Pro/EVI-X screening model ไม่ควรสื่อว่าเทียบเท่า NREL full simulation</t>
  </si>
  <si>
    <t>ควรเพิ่ม</t>
  </si>
  <si>
    <t>Sensitivity sheet</t>
  </si>
  <si>
    <t>แก้แล้วใน v3</t>
  </si>
  <si>
    <t>DLT/DOPA/AADT verified sheet</t>
  </si>
  <si>
    <t>เพิ่มชีต 7.Data Verification และแก้ passenger fleet เชียงใหม่จาก 350,000 เป็น DLT รย.1 453,310 คัน</t>
  </si>
  <si>
    <t>Station anchor wording</t>
  </si>
  <si>
    <t>ระบุว่า 130 ครั้ง/วันยังไม่ยืนยัน และควรทำ sensitivity 130/200/300</t>
  </si>
  <si>
    <t>แก้แล้วใน v4</t>
  </si>
  <si>
    <t>S-curve ใช้ DLT stock เป็น seed</t>
  </si>
  <si>
    <t>ปี 2026 ในตาราง adoption ถูกตรึงด้วย DLT BEV+PHEV 15,229 คัน; ค่า 6,200 เหลือเป็น legacy placeholder สำหรับ new-car scaling</t>
  </si>
  <si>
    <t>ให้เรียกว่า temporary calibration anchor และทำ sensitivity 130 / 200 / 300 ครั้งต่อวัน</t>
  </si>
  <si>
    <t xml:space="preserve">เพิ่มตารางผล station demand เมื่อ anchor = 130, 200, 300 </t>
  </si>
  <si>
    <t>รูปแบบการมาชาร์จแต่ละชั่วโมง</t>
  </si>
  <si>
    <t>B. พารามิเตอร์กลุ่มรถจังหวัดเชียงใหม่ (ใช้ DLT stock เป็นจุดตั้งต้นปี 2026)</t>
  </si>
  <si>
    <t>EV สะสม × พึ่งสถานีชาร์จสาธารณะ × ครั้ง/สัปดาห์ ÷7 ×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</si>
</sst>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+0.0;\-0.0"/>
  </numFmts>
  <fonts count="32" x14ac:knownFonts="1">
    <font>
      <sz val="11"/>
      <color theme="1"/>
      <name val="Calibri"/>
      <family val="2"/>
      <charset val="1"/>
    </font>
    <font>
      <b/>
      <sz val="16"/>
      <color rgb="FF1F3864"/>
      <name val="Tahoma"/>
      <charset val="1"/>
    </font>
    <font>
      <i/>
      <sz val="10"/>
      <color rgb="FF595959"/>
      <name val="Tahoma"/>
      <charset val="1"/>
    </font>
    <font>
      <b/>
      <sz val="12"/>
      <color rgb="FF1F3864"/>
      <name val="Tahoma"/>
      <charset val="1"/>
    </font>
    <font>
      <sz val="10"/>
      <name val="Tahoma"/>
      <charset val="1"/>
    </font>
    <font>
      <b/>
      <sz val="11"/>
      <color rgb="FFFFFFFF"/>
      <name val="Tahoma"/>
      <charset val="1"/>
    </font>
    <font>
      <b/>
      <sz val="9.5"/>
      <color rgb="FF1F3864"/>
      <name val="Tahoma"/>
      <charset val="1"/>
    </font>
    <font>
      <sz val="9.5"/>
      <color rgb="FF000000"/>
      <name val="Tahoma"/>
      <charset val="1"/>
    </font>
    <font>
      <b/>
      <sz val="10"/>
      <color rgb="FFC00000"/>
      <name val="Tahoma"/>
      <charset val="1"/>
    </font>
    <font>
      <b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0000FF"/>
      <name val="Tahoma"/>
      <charset val="1"/>
    </font>
    <font>
      <sz val="9"/>
      <color rgb="FF595959"/>
      <name val="Tahoma"/>
      <charset val="1"/>
    </font>
    <font>
      <sz val="9"/>
      <color rgb="FF404040"/>
      <name val="Tahoma"/>
      <charset val="1"/>
    </font>
    <font>
      <b/>
      <sz val="10"/>
      <name val="Tahoma"/>
      <charset val="1"/>
    </font>
    <font>
      <i/>
      <sz val="9"/>
      <color rgb="FF595959"/>
      <name val="Tahoma"/>
      <charset val="1"/>
    </font>
    <font>
      <b/>
      <sz val="11"/>
      <color rgb="FF1F3864"/>
      <name val="Tahoma"/>
      <charset val="1"/>
    </font>
    <font>
      <b/>
      <sz val="12"/>
      <color rgb="FF0000FF"/>
      <name val="Tahoma"/>
      <charset val="1"/>
    </font>
    <font>
      <b/>
      <sz val="10"/>
      <color rgb="FF000000"/>
      <name val="Tahoma"/>
      <charset val="1"/>
    </font>
    <font>
      <sz val="8.5"/>
      <color rgb="FF595959"/>
      <name val="Tahoma"/>
      <charset val="1"/>
    </font>
    <font>
      <b/>
      <sz val="11"/>
      <color rgb="FFC00000"/>
      <name val="Tahoma"/>
      <charset val="1"/>
    </font>
    <font>
      <sz val="10"/>
      <color rgb="FF0000FF"/>
      <name val="Tahoma"/>
      <charset val="1"/>
    </font>
    <font>
      <b/>
      <sz val="11"/>
      <color rgb="FF008000"/>
      <name val="Tahoma"/>
      <charset val="1"/>
    </font>
    <font>
      <sz val="9.5"/>
      <color rgb="FFC00000"/>
      <name val="Tahoma"/>
      <charset val="1"/>
    </font>
    <font>
      <b/>
      <sz val="10"/>
      <color rgb="FF1F3864"/>
      <name val="Tahoma"/>
      <charset val="1"/>
    </font>
    <font>
      <sz val="10"/>
      <name val="Aptos"/>
    </font>
    <font>
      <b/>
      <sz val="10"/>
      <name val="Aptos"/>
    </font>
    <font>
      <b/>
      <sz val="10"/>
      <color rgb="FFFFFFFF"/>
      <name val="Aptos"/>
    </font>
    <font>
      <sz val="10"/>
      <color rgb="FF000000"/>
      <name val="Aptos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6F8FA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7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3" fontId="14" fillId="3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3" fontId="20" fillId="7" borderId="1" xfId="0" applyNumberFormat="1" applyFont="1" applyFill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164" fontId="22" fillId="6" borderId="1" xfId="0" applyNumberFormat="1" applyFont="1" applyFill="1" applyBorder="1" applyAlignment="1">
      <alignment vertical="center" wrapText="1"/>
    </xf>
    <xf numFmtId="2" fontId="22" fillId="6" borderId="1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9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10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11" borderId="4" xfId="0" applyFont="1" applyFill="1" applyBorder="1" applyAlignment="1">
      <alignment vertical="center" wrapText="1"/>
    </xf>
    <xf numFmtId="0" fontId="28" fillId="12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29" fillId="13" borderId="0" xfId="0" applyFont="1" applyFill="1" applyAlignment="1">
      <alignment vertical="center" wrapText="1"/>
    </xf>
    <xf numFmtId="0" fontId="30" fillId="13" borderId="0" xfId="0" applyFont="1" applyFill="1" applyAlignment="1">
      <alignment vertical="center" wrapText="1"/>
    </xf>
    <xf numFmtId="0" fontId="31" fillId="14" borderId="0" xfId="0" applyFont="1" applyFill="1" applyAlignment="1">
      <alignment horizontal="left" vertical="center" wrapText="1"/>
    </xf>
    <xf numFmtId="0" fontId="31" fillId="14" borderId="0" xfId="0" applyFont="1" applyFill="1"/>
    <xf numFmtId="0" fontId="14" fillId="13" borderId="1" xfId="0" applyFont="1" applyFill="1" applyBorder="1" applyAlignment="1">
      <alignment horizontal="center" vertical="center" wrapText="1"/>
    </xf>
    <xf numFmtId="10" fontId="4" fillId="13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165" fontId="4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/>
    <xf numFmtId="0" fontId="23" fillId="7" borderId="0" xfId="0" applyFont="1" applyFill="1" applyAlignment="1">
      <alignment vertical="top" wrapText="1"/>
    </xf>
    <xf numFmtId="0" fontId="0" fillId="0" borderId="0" xfId="0"/>
    <xf numFmtId="0" fontId="7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8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4" fillId="3" borderId="0" xfId="0" applyFont="1" applyFill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opLeftCell="A19" zoomScale="110" zoomScaleNormal="110" workbookViewId="0">
      <selection activeCell="F11" sqref="F11"/>
    </sheetView>
  </sheetViews>
  <sheetFormatPr defaultColWidth="8.6640625" defaultRowHeight="14.4" x14ac:dyDescent="0.3"/>
  <cols>
    <col min="1" max="1" width="18.44140625" customWidth="1"/>
    <col min="2" max="2" width="26" customWidth="1"/>
    <col min="3" max="4" width="22" customWidth="1"/>
    <col min="5" max="5" width="22.77734375" customWidth="1"/>
    <col min="6" max="6" width="46.21875" customWidth="1"/>
  </cols>
  <sheetData>
    <row r="1" spans="1:6" ht="20.399999999999999" customHeight="1" x14ac:dyDescent="0.3">
      <c r="A1" s="49" t="s">
        <v>25</v>
      </c>
      <c r="B1" s="10"/>
      <c r="C1" s="10"/>
      <c r="D1" s="10"/>
      <c r="E1" s="10"/>
      <c r="F1" s="10"/>
    </row>
    <row r="2" spans="1:6" x14ac:dyDescent="0.3">
      <c r="A2" s="48" t="s">
        <v>26</v>
      </c>
      <c r="B2" s="10"/>
      <c r="C2" s="10"/>
      <c r="D2" s="10"/>
      <c r="E2" s="10"/>
      <c r="F2" s="10"/>
    </row>
    <row r="3" spans="1:6" ht="9" customHeight="1" x14ac:dyDescent="0.3">
      <c r="A3" s="10"/>
      <c r="B3" s="10"/>
      <c r="C3" s="10"/>
      <c r="D3" s="10"/>
      <c r="E3" s="10"/>
      <c r="F3" s="10"/>
    </row>
    <row r="4" spans="1:6" ht="12.6" customHeight="1" x14ac:dyDescent="0.3">
      <c r="A4" s="10"/>
      <c r="B4" s="12" t="s">
        <v>27</v>
      </c>
      <c r="C4" s="10"/>
      <c r="D4" s="10"/>
      <c r="E4" s="10"/>
      <c r="F4" s="10"/>
    </row>
    <row r="5" spans="1:6" ht="15" customHeight="1" x14ac:dyDescent="0.3">
      <c r="A5" s="10"/>
      <c r="B5" s="73" t="s">
        <v>28</v>
      </c>
      <c r="C5" s="68"/>
      <c r="D5" s="68"/>
      <c r="E5" s="68"/>
      <c r="F5" s="68"/>
    </row>
    <row r="6" spans="1:6" ht="22.2" customHeight="1" x14ac:dyDescent="0.3">
      <c r="A6" s="10"/>
      <c r="B6" s="68"/>
      <c r="C6" s="68"/>
      <c r="D6" s="68"/>
      <c r="E6" s="68"/>
      <c r="F6" s="68"/>
    </row>
    <row r="7" spans="1:6" x14ac:dyDescent="0.3">
      <c r="A7" s="10"/>
      <c r="B7" s="10"/>
      <c r="C7" s="10"/>
      <c r="D7" s="10"/>
      <c r="E7" s="10"/>
      <c r="F7" s="10"/>
    </row>
    <row r="8" spans="1:6" ht="15.6" customHeight="1" x14ac:dyDescent="0.3">
      <c r="A8" s="10"/>
      <c r="B8" s="50" t="s">
        <v>29</v>
      </c>
      <c r="C8" s="10"/>
      <c r="D8" s="10"/>
      <c r="E8" s="10"/>
      <c r="F8" s="10"/>
    </row>
    <row r="9" spans="1:6" x14ac:dyDescent="0.3">
      <c r="A9" s="10"/>
      <c r="B9" s="2" t="s">
        <v>30</v>
      </c>
      <c r="C9" s="2" t="s">
        <v>31</v>
      </c>
      <c r="D9" s="2" t="s">
        <v>32</v>
      </c>
      <c r="E9" s="2" t="s">
        <v>33</v>
      </c>
      <c r="F9" s="10"/>
    </row>
    <row r="10" spans="1:6" ht="42" customHeight="1" x14ac:dyDescent="0.3">
      <c r="A10" s="10"/>
      <c r="B10" s="3" t="s">
        <v>34</v>
      </c>
      <c r="C10" s="4" t="s">
        <v>35</v>
      </c>
      <c r="D10" s="4" t="s">
        <v>36</v>
      </c>
      <c r="E10" s="4" t="s">
        <v>37</v>
      </c>
      <c r="F10" s="10"/>
    </row>
    <row r="11" spans="1:6" ht="42" customHeight="1" x14ac:dyDescent="0.3">
      <c r="A11" s="10"/>
      <c r="B11" s="3" t="s">
        <v>38</v>
      </c>
      <c r="C11" s="4" t="s">
        <v>39</v>
      </c>
      <c r="D11" s="4" t="s">
        <v>40</v>
      </c>
      <c r="E11" s="4" t="s">
        <v>41</v>
      </c>
      <c r="F11" s="10"/>
    </row>
    <row r="12" spans="1:6" ht="42" customHeight="1" x14ac:dyDescent="0.3">
      <c r="A12" s="10"/>
      <c r="B12" s="3" t="s">
        <v>42</v>
      </c>
      <c r="C12" s="4" t="s">
        <v>43</v>
      </c>
      <c r="D12" s="4" t="s">
        <v>44</v>
      </c>
      <c r="E12" s="4" t="s">
        <v>45</v>
      </c>
      <c r="F12" s="10"/>
    </row>
    <row r="13" spans="1:6" ht="42" customHeight="1" x14ac:dyDescent="0.3">
      <c r="A13" s="10"/>
      <c r="B13" s="3" t="s">
        <v>46</v>
      </c>
      <c r="C13" s="4" t="s">
        <v>47</v>
      </c>
      <c r="D13" s="4" t="s">
        <v>292</v>
      </c>
      <c r="E13" s="4" t="s">
        <v>48</v>
      </c>
      <c r="F13" s="10"/>
    </row>
    <row r="14" spans="1:6" x14ac:dyDescent="0.3">
      <c r="A14" s="10"/>
      <c r="B14" s="10"/>
      <c r="C14" s="10"/>
      <c r="D14" s="10"/>
      <c r="E14" s="10"/>
      <c r="F14" s="10"/>
    </row>
    <row r="15" spans="1:6" ht="15.6" customHeight="1" x14ac:dyDescent="0.3">
      <c r="A15" s="10"/>
      <c r="B15" s="12" t="s">
        <v>49</v>
      </c>
      <c r="C15" s="10"/>
      <c r="D15" s="10"/>
      <c r="E15" s="10"/>
      <c r="F15" s="10"/>
    </row>
    <row r="16" spans="1:6" ht="19.5" customHeight="1" x14ac:dyDescent="0.3">
      <c r="A16" s="10"/>
      <c r="B16" s="72" t="s">
        <v>50</v>
      </c>
      <c r="C16" s="68"/>
      <c r="D16" s="68"/>
      <c r="E16" s="68"/>
      <c r="F16" s="68"/>
    </row>
    <row r="17" spans="1:6" ht="25.8" customHeight="1" x14ac:dyDescent="0.3">
      <c r="A17" s="10"/>
      <c r="B17" s="72" t="s">
        <v>51</v>
      </c>
      <c r="C17" s="68"/>
      <c r="D17" s="68"/>
      <c r="E17" s="68"/>
      <c r="F17" s="68"/>
    </row>
    <row r="18" spans="1:6" x14ac:dyDescent="0.3">
      <c r="A18" s="10"/>
      <c r="B18" s="10"/>
      <c r="C18" s="10"/>
      <c r="D18" s="10"/>
      <c r="E18" s="10"/>
      <c r="F18" s="10"/>
    </row>
    <row r="19" spans="1:6" ht="15.6" customHeight="1" x14ac:dyDescent="0.3">
      <c r="A19" s="10"/>
      <c r="B19" s="50" t="s">
        <v>52</v>
      </c>
      <c r="C19" s="10"/>
      <c r="D19" s="10"/>
      <c r="E19" s="10"/>
      <c r="F19" s="10"/>
    </row>
    <row r="20" spans="1:6" x14ac:dyDescent="0.3">
      <c r="A20" s="10"/>
      <c r="B20" s="2" t="s">
        <v>53</v>
      </c>
      <c r="C20" s="2" t="s">
        <v>54</v>
      </c>
      <c r="D20" s="2" t="s">
        <v>55</v>
      </c>
      <c r="E20" s="10"/>
      <c r="F20" s="10"/>
    </row>
    <row r="21" spans="1:6" ht="15" customHeight="1" x14ac:dyDescent="0.3">
      <c r="A21" s="10"/>
      <c r="B21" s="1" t="s">
        <v>56</v>
      </c>
      <c r="C21" s="5" t="s">
        <v>57</v>
      </c>
      <c r="D21" s="69" t="s">
        <v>58</v>
      </c>
      <c r="E21" s="70"/>
      <c r="F21" s="71"/>
    </row>
    <row r="22" spans="1:6" ht="15" customHeight="1" x14ac:dyDescent="0.3">
      <c r="A22" s="10"/>
      <c r="B22" s="1" t="s">
        <v>59</v>
      </c>
      <c r="C22" s="5" t="s">
        <v>60</v>
      </c>
      <c r="D22" s="69" t="s">
        <v>61</v>
      </c>
      <c r="E22" s="70"/>
      <c r="F22" s="71"/>
    </row>
    <row r="23" spans="1:6" ht="15" customHeight="1" x14ac:dyDescent="0.3">
      <c r="A23" s="10"/>
      <c r="B23" s="1" t="s">
        <v>62</v>
      </c>
      <c r="C23" s="5" t="s">
        <v>63</v>
      </c>
      <c r="D23" s="69" t="s">
        <v>64</v>
      </c>
      <c r="E23" s="70"/>
      <c r="F23" s="71"/>
    </row>
    <row r="24" spans="1:6" ht="15" customHeight="1" x14ac:dyDescent="0.3">
      <c r="A24" s="10"/>
      <c r="B24" s="1" t="s">
        <v>65</v>
      </c>
      <c r="C24" s="5" t="s">
        <v>66</v>
      </c>
      <c r="D24" s="69" t="s">
        <v>67</v>
      </c>
      <c r="E24" s="70"/>
      <c r="F24" s="71"/>
    </row>
  </sheetData>
  <mergeCells count="7">
    <mergeCell ref="D24:F24"/>
    <mergeCell ref="D23:F23"/>
    <mergeCell ref="B16:F16"/>
    <mergeCell ref="D22:F22"/>
    <mergeCell ref="B5:F6"/>
    <mergeCell ref="D21:F2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showGridLines="0" topLeftCell="A22" zoomScale="110" zoomScaleNormal="110" workbookViewId="0">
      <selection activeCell="C23" sqref="C23"/>
    </sheetView>
  </sheetViews>
  <sheetFormatPr defaultColWidth="8.6640625" defaultRowHeight="14.4" x14ac:dyDescent="0.3"/>
  <cols>
    <col min="1" max="1" width="10.77734375" customWidth="1"/>
    <col min="2" max="2" width="34" customWidth="1"/>
    <col min="3" max="3" width="14" customWidth="1"/>
    <col min="4" max="4" width="12" customWidth="1"/>
    <col min="5" max="5" width="51.6640625" customWidth="1"/>
  </cols>
  <sheetData>
    <row r="1" spans="1:5" ht="20.399999999999999" customHeight="1" x14ac:dyDescent="0.3">
      <c r="A1" s="49" t="s">
        <v>68</v>
      </c>
      <c r="B1" s="10"/>
      <c r="C1" s="10"/>
      <c r="D1" s="10"/>
      <c r="E1" s="10"/>
    </row>
    <row r="2" spans="1:5" x14ac:dyDescent="0.3">
      <c r="A2" s="48" t="s">
        <v>69</v>
      </c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x14ac:dyDescent="0.3">
      <c r="A4" s="10"/>
      <c r="B4" s="2" t="s">
        <v>70</v>
      </c>
      <c r="C4" s="2" t="s">
        <v>54</v>
      </c>
      <c r="D4" s="2" t="s">
        <v>71</v>
      </c>
      <c r="E4" s="2" t="s">
        <v>72</v>
      </c>
    </row>
    <row r="5" spans="1:5" ht="19.5" customHeight="1" x14ac:dyDescent="0.3">
      <c r="A5" s="10"/>
      <c r="B5" s="74" t="s">
        <v>73</v>
      </c>
      <c r="C5" s="68"/>
      <c r="D5" s="68"/>
      <c r="E5" s="68"/>
    </row>
    <row r="6" spans="1:5" ht="30" customHeight="1" x14ac:dyDescent="0.3">
      <c r="A6" s="10"/>
      <c r="B6" s="13" t="s">
        <v>74</v>
      </c>
      <c r="C6" s="14">
        <v>0.85</v>
      </c>
      <c r="D6" s="15" t="s">
        <v>75</v>
      </c>
      <c r="E6" s="6" t="s">
        <v>76</v>
      </c>
    </row>
    <row r="7" spans="1:5" ht="30" customHeight="1" x14ac:dyDescent="0.3">
      <c r="A7" s="10"/>
      <c r="B7" s="13" t="s">
        <v>77</v>
      </c>
      <c r="C7" s="16">
        <v>0.17899999999999999</v>
      </c>
      <c r="D7" s="15" t="s">
        <v>78</v>
      </c>
      <c r="E7" s="6" t="s">
        <v>79</v>
      </c>
    </row>
    <row r="8" spans="1:5" ht="30" customHeight="1" x14ac:dyDescent="0.3">
      <c r="A8" s="10"/>
      <c r="B8" s="13" t="s">
        <v>80</v>
      </c>
      <c r="C8" s="16">
        <v>2032</v>
      </c>
      <c r="D8" s="15" t="s">
        <v>81</v>
      </c>
      <c r="E8" s="6" t="s">
        <v>82</v>
      </c>
    </row>
    <row r="9" spans="1:5" ht="30" customHeight="1" x14ac:dyDescent="0.3">
      <c r="A9" s="10"/>
      <c r="B9" s="13" t="s">
        <v>83</v>
      </c>
      <c r="C9" s="16">
        <v>1</v>
      </c>
      <c r="D9" s="15" t="s">
        <v>84</v>
      </c>
      <c r="E9" s="6" t="s">
        <v>85</v>
      </c>
    </row>
    <row r="10" spans="1:5" x14ac:dyDescent="0.3">
      <c r="A10" s="10"/>
      <c r="B10" s="10"/>
      <c r="C10" s="10"/>
      <c r="D10" s="10"/>
      <c r="E10" s="10"/>
    </row>
    <row r="11" spans="1:5" ht="19.5" customHeight="1" x14ac:dyDescent="0.3">
      <c r="A11" s="10"/>
      <c r="B11" s="74" t="s">
        <v>293</v>
      </c>
      <c r="C11" s="68"/>
      <c r="D11" s="68"/>
      <c r="E11" s="68"/>
    </row>
    <row r="12" spans="1:5" ht="30" customHeight="1" x14ac:dyDescent="0.3">
      <c r="A12" s="10"/>
      <c r="B12" s="13" t="s">
        <v>86</v>
      </c>
      <c r="C12" s="16">
        <v>6200</v>
      </c>
      <c r="D12" s="15" t="s">
        <v>87</v>
      </c>
      <c r="E12" s="6" t="s">
        <v>88</v>
      </c>
    </row>
    <row r="13" spans="1:5" ht="30" customHeight="1" x14ac:dyDescent="0.3">
      <c r="A13" s="10"/>
      <c r="B13" s="13" t="s">
        <v>89</v>
      </c>
      <c r="C13" s="16">
        <v>453310</v>
      </c>
      <c r="D13" s="15" t="s">
        <v>90</v>
      </c>
      <c r="E13" s="6" t="s">
        <v>91</v>
      </c>
    </row>
    <row r="14" spans="1:5" ht="30" customHeight="1" x14ac:dyDescent="0.3">
      <c r="A14" s="10"/>
      <c r="B14" s="13" t="s">
        <v>92</v>
      </c>
      <c r="C14" s="16">
        <v>14</v>
      </c>
      <c r="D14" s="15" t="s">
        <v>3</v>
      </c>
      <c r="E14" s="6" t="s">
        <v>93</v>
      </c>
    </row>
    <row r="15" spans="1:5" x14ac:dyDescent="0.3">
      <c r="A15" s="10"/>
      <c r="B15" s="10"/>
      <c r="C15" s="10"/>
      <c r="D15" s="10"/>
      <c r="E15" s="10"/>
    </row>
    <row r="16" spans="1:5" ht="19.5" customHeight="1" x14ac:dyDescent="0.3">
      <c r="A16" s="10"/>
      <c r="B16" s="74" t="s">
        <v>94</v>
      </c>
      <c r="C16" s="68"/>
      <c r="D16" s="68"/>
      <c r="E16" s="68"/>
    </row>
    <row r="17" spans="1:5" ht="30" customHeight="1" x14ac:dyDescent="0.3">
      <c r="A17" s="10"/>
      <c r="B17" s="13" t="s">
        <v>95</v>
      </c>
      <c r="C17" s="14">
        <v>0.06</v>
      </c>
      <c r="D17" s="15" t="s">
        <v>75</v>
      </c>
      <c r="E17" s="6" t="s">
        <v>96</v>
      </c>
    </row>
    <row r="18" spans="1:5" ht="30" customHeight="1" x14ac:dyDescent="0.3">
      <c r="A18" s="10"/>
      <c r="B18" s="13" t="s">
        <v>97</v>
      </c>
      <c r="C18" s="14">
        <v>0.12</v>
      </c>
      <c r="D18" s="15" t="s">
        <v>75</v>
      </c>
      <c r="E18" s="6" t="s">
        <v>98</v>
      </c>
    </row>
    <row r="19" spans="1:5" ht="30" customHeight="1" x14ac:dyDescent="0.3">
      <c r="A19" s="10"/>
      <c r="B19" s="13" t="s">
        <v>99</v>
      </c>
      <c r="C19" s="14">
        <v>0.2</v>
      </c>
      <c r="D19" s="15" t="s">
        <v>75</v>
      </c>
      <c r="E19" s="6" t="s">
        <v>100</v>
      </c>
    </row>
    <row r="20" spans="1:5" ht="30" customHeight="1" x14ac:dyDescent="0.3">
      <c r="A20" s="10"/>
      <c r="B20" s="13" t="s">
        <v>101</v>
      </c>
      <c r="C20" s="14">
        <v>0.08</v>
      </c>
      <c r="D20" s="15" t="s">
        <v>75</v>
      </c>
      <c r="E20" s="6" t="s">
        <v>102</v>
      </c>
    </row>
    <row r="21" spans="1:5" x14ac:dyDescent="0.3">
      <c r="A21" s="10"/>
      <c r="B21" s="10"/>
      <c r="C21" s="10"/>
      <c r="D21" s="10"/>
      <c r="E21" s="10"/>
    </row>
    <row r="22" spans="1:5" ht="19.5" customHeight="1" x14ac:dyDescent="0.3">
      <c r="A22" s="10"/>
      <c r="B22" s="74" t="s">
        <v>103</v>
      </c>
      <c r="C22" s="68"/>
      <c r="D22" s="68"/>
      <c r="E22" s="68"/>
    </row>
    <row r="23" spans="1:5" ht="30" customHeight="1" x14ac:dyDescent="0.3">
      <c r="A23" s="10"/>
      <c r="B23" s="13" t="s">
        <v>104</v>
      </c>
      <c r="C23" s="14">
        <v>0.35</v>
      </c>
      <c r="D23" s="15" t="s">
        <v>75</v>
      </c>
      <c r="E23" s="6" t="s">
        <v>105</v>
      </c>
    </row>
    <row r="24" spans="1:5" ht="30" customHeight="1" x14ac:dyDescent="0.3">
      <c r="A24" s="10"/>
      <c r="B24" s="13" t="s">
        <v>106</v>
      </c>
      <c r="C24" s="16">
        <v>1.5</v>
      </c>
      <c r="D24" s="15" t="s">
        <v>107</v>
      </c>
      <c r="E24" s="6" t="s">
        <v>108</v>
      </c>
    </row>
    <row r="25" spans="1:5" ht="30" customHeight="1" x14ac:dyDescent="0.3">
      <c r="A25" s="10"/>
      <c r="B25" s="13" t="s">
        <v>109</v>
      </c>
      <c r="C25" s="14">
        <v>0.2</v>
      </c>
      <c r="D25" s="15" t="s">
        <v>75</v>
      </c>
      <c r="E25" s="6" t="s">
        <v>110</v>
      </c>
    </row>
    <row r="26" spans="1:5" ht="30" customHeight="1" x14ac:dyDescent="0.3">
      <c r="A26" s="10"/>
      <c r="B26" s="13" t="s">
        <v>111</v>
      </c>
      <c r="C26" s="16">
        <v>4000</v>
      </c>
      <c r="D26" s="15" t="s">
        <v>112</v>
      </c>
      <c r="E26" s="6" t="s">
        <v>113</v>
      </c>
    </row>
    <row r="27" spans="1:5" ht="30" customHeight="1" x14ac:dyDescent="0.3">
      <c r="A27" s="10"/>
      <c r="B27" s="13" t="s">
        <v>114</v>
      </c>
      <c r="C27" s="14">
        <v>0.05</v>
      </c>
      <c r="D27" s="15" t="s">
        <v>75</v>
      </c>
      <c r="E27" s="6" t="s">
        <v>115</v>
      </c>
    </row>
    <row r="28" spans="1:5" ht="30" customHeight="1" x14ac:dyDescent="0.3">
      <c r="A28" s="10"/>
      <c r="B28" s="13" t="s">
        <v>116</v>
      </c>
      <c r="C28" s="16">
        <v>33000</v>
      </c>
      <c r="D28" s="15" t="s">
        <v>117</v>
      </c>
      <c r="E28" s="6" t="s">
        <v>118</v>
      </c>
    </row>
    <row r="29" spans="1:5" ht="30" customHeight="1" x14ac:dyDescent="0.3">
      <c r="A29" s="10"/>
      <c r="B29" s="13" t="s">
        <v>119</v>
      </c>
      <c r="C29" s="16">
        <v>0.65700000000000003</v>
      </c>
      <c r="D29" s="15" t="s">
        <v>84</v>
      </c>
      <c r="E29" s="6" t="s">
        <v>120</v>
      </c>
    </row>
    <row r="30" spans="1:5" ht="30" customHeight="1" x14ac:dyDescent="0.3">
      <c r="A30" s="10"/>
      <c r="B30" s="13" t="s">
        <v>121</v>
      </c>
      <c r="C30" s="16">
        <v>32</v>
      </c>
      <c r="D30" s="15" t="s">
        <v>122</v>
      </c>
      <c r="E30" s="6" t="s">
        <v>123</v>
      </c>
    </row>
    <row r="31" spans="1:5" ht="30" customHeight="1" x14ac:dyDescent="0.3">
      <c r="A31" s="10"/>
      <c r="B31" s="13" t="s">
        <v>124</v>
      </c>
      <c r="C31" s="16">
        <v>22</v>
      </c>
      <c r="D31" s="15" t="s">
        <v>107</v>
      </c>
      <c r="E31" s="6" t="s">
        <v>125</v>
      </c>
    </row>
    <row r="32" spans="1:5" x14ac:dyDescent="0.3">
      <c r="A32" s="10"/>
      <c r="B32" s="10"/>
      <c r="C32" s="10"/>
      <c r="D32" s="10"/>
      <c r="E32" s="10"/>
    </row>
    <row r="33" spans="1:5" x14ac:dyDescent="0.3">
      <c r="A33" s="10"/>
      <c r="B33" s="10"/>
      <c r="C33" s="10"/>
      <c r="D33" s="10"/>
      <c r="E33" s="10"/>
    </row>
    <row r="34" spans="1:5" ht="82.8" customHeight="1" x14ac:dyDescent="0.3">
      <c r="A34" s="52" t="s">
        <v>126</v>
      </c>
      <c r="B34" s="52"/>
      <c r="C34" s="52"/>
      <c r="D34" s="52"/>
      <c r="E34" s="52"/>
    </row>
    <row r="35" spans="1:5" ht="41.4" customHeight="1" x14ac:dyDescent="0.3">
      <c r="A35" s="53" t="s">
        <v>127</v>
      </c>
      <c r="B35" s="53">
        <v>1798588</v>
      </c>
      <c r="C35" s="53" t="s">
        <v>112</v>
      </c>
      <c r="D35" s="53" t="s">
        <v>128</v>
      </c>
      <c r="E35" s="53" t="s">
        <v>129</v>
      </c>
    </row>
    <row r="36" spans="1:5" ht="41.4" customHeight="1" x14ac:dyDescent="0.3">
      <c r="A36" s="53" t="s">
        <v>130</v>
      </c>
      <c r="B36" s="53">
        <v>453310</v>
      </c>
      <c r="C36" s="53" t="s">
        <v>90</v>
      </c>
      <c r="D36" s="53" t="s">
        <v>131</v>
      </c>
      <c r="E36" s="53" t="s">
        <v>132</v>
      </c>
    </row>
    <row r="37" spans="1:5" ht="27.6" customHeight="1" x14ac:dyDescent="0.3">
      <c r="A37" s="53" t="s">
        <v>133</v>
      </c>
      <c r="B37" s="53">
        <v>13089</v>
      </c>
      <c r="C37" s="53" t="s">
        <v>90</v>
      </c>
      <c r="D37" s="53" t="s">
        <v>131</v>
      </c>
      <c r="E37" s="53" t="s">
        <v>134</v>
      </c>
    </row>
    <row r="38" spans="1:5" ht="27.6" customHeight="1" x14ac:dyDescent="0.3">
      <c r="A38" s="53" t="s">
        <v>135</v>
      </c>
      <c r="B38" s="53">
        <v>2140</v>
      </c>
      <c r="C38" s="53" t="s">
        <v>90</v>
      </c>
      <c r="D38" s="53" t="s">
        <v>131</v>
      </c>
      <c r="E38" s="53" t="s">
        <v>136</v>
      </c>
    </row>
    <row r="39" spans="1:5" ht="27.6" customHeight="1" x14ac:dyDescent="0.3">
      <c r="A39" s="53" t="s">
        <v>137</v>
      </c>
      <c r="B39" s="53">
        <v>15229</v>
      </c>
      <c r="C39" s="53" t="s">
        <v>90</v>
      </c>
      <c r="D39" s="53" t="s">
        <v>131</v>
      </c>
      <c r="E39" s="53" t="s">
        <v>138</v>
      </c>
    </row>
    <row r="40" spans="1:5" ht="55.2" customHeight="1" x14ac:dyDescent="0.3">
      <c r="A40" s="53" t="s">
        <v>139</v>
      </c>
      <c r="B40" s="53">
        <v>18189</v>
      </c>
      <c r="C40" s="53" t="s">
        <v>90</v>
      </c>
      <c r="D40" s="53" t="s">
        <v>131</v>
      </c>
      <c r="E40" s="53" t="s">
        <v>140</v>
      </c>
    </row>
    <row r="41" spans="1:5" ht="55.2" customHeight="1" x14ac:dyDescent="0.3">
      <c r="A41" s="53" t="s">
        <v>141</v>
      </c>
      <c r="B41" s="53">
        <v>118853</v>
      </c>
      <c r="C41" s="53" t="s">
        <v>142</v>
      </c>
      <c r="D41" s="53" t="s">
        <v>143</v>
      </c>
      <c r="E41" s="53" t="s">
        <v>144</v>
      </c>
    </row>
    <row r="42" spans="1:5" ht="55.2" customHeight="1" x14ac:dyDescent="0.3">
      <c r="A42" s="58" t="s">
        <v>145</v>
      </c>
      <c r="B42" s="58" t="s">
        <v>146</v>
      </c>
      <c r="C42" s="59">
        <v>15229</v>
      </c>
      <c r="D42" s="59" t="s">
        <v>90</v>
      </c>
      <c r="E42" s="59" t="s">
        <v>147</v>
      </c>
    </row>
    <row r="43" spans="1:5" ht="41.4" customHeight="1" x14ac:dyDescent="0.3">
      <c r="A43" s="53" t="s">
        <v>148</v>
      </c>
      <c r="B43" s="53">
        <v>69988</v>
      </c>
      <c r="C43" s="53" t="s">
        <v>142</v>
      </c>
      <c r="D43" s="53" t="s">
        <v>143</v>
      </c>
      <c r="E43" s="53" t="s">
        <v>149</v>
      </c>
    </row>
    <row r="44" spans="1:5" x14ac:dyDescent="0.3">
      <c r="A44" s="10"/>
      <c r="B44" s="10"/>
      <c r="C44" s="10"/>
      <c r="D44" s="10"/>
      <c r="E44" s="10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4">
    <mergeCell ref="B11:E11"/>
    <mergeCell ref="B22:E22"/>
    <mergeCell ref="B5:E5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zoomScale="110" zoomScaleNormal="110" workbookViewId="0">
      <selection activeCell="J16" sqref="J16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6" width="20" customWidth="1"/>
    <col min="7" max="7" width="22.77734375" customWidth="1"/>
    <col min="8" max="8" width="33.21875" customWidth="1"/>
  </cols>
  <sheetData>
    <row r="1" spans="1:8" ht="20.399999999999999" customHeight="1" x14ac:dyDescent="0.3">
      <c r="A1" s="49" t="s">
        <v>150</v>
      </c>
      <c r="B1" s="10"/>
      <c r="C1" s="10"/>
      <c r="D1" s="10"/>
      <c r="E1" s="10"/>
      <c r="F1" s="10"/>
      <c r="G1" s="10"/>
    </row>
    <row r="2" spans="1:8" x14ac:dyDescent="0.3">
      <c r="A2" s="48"/>
      <c r="B2" s="51" t="s">
        <v>151</v>
      </c>
      <c r="C2" s="10"/>
      <c r="D2" s="10"/>
      <c r="E2" s="10"/>
      <c r="F2" s="10"/>
      <c r="G2" s="10"/>
    </row>
    <row r="3" spans="1:8" x14ac:dyDescent="0.3">
      <c r="A3" s="10"/>
      <c r="B3" s="10"/>
      <c r="C3" s="10"/>
      <c r="D3" s="10"/>
      <c r="E3" s="10"/>
      <c r="F3" s="10"/>
      <c r="G3" s="10"/>
    </row>
    <row r="4" spans="1:8" ht="28.8" x14ac:dyDescent="0.3">
      <c r="A4" s="10"/>
      <c r="B4" s="60" t="s">
        <v>3</v>
      </c>
      <c r="C4" s="60" t="s">
        <v>152</v>
      </c>
      <c r="D4" s="60" t="s">
        <v>153</v>
      </c>
      <c r="E4" s="60" t="s">
        <v>154</v>
      </c>
      <c r="F4" s="60" t="s">
        <v>155</v>
      </c>
      <c r="G4" s="60" t="s">
        <v>156</v>
      </c>
      <c r="H4" s="61" t="s">
        <v>157</v>
      </c>
    </row>
    <row r="5" spans="1:8" x14ac:dyDescent="0.3">
      <c r="A5" s="10"/>
      <c r="B5" s="17" t="s">
        <v>158</v>
      </c>
      <c r="C5" s="18">
        <f>MIN('2.สมมติฐาน'!$C$6/(1+EXP(-'2.สมมติฐาน'!$C$7*(2018-'2.สมมติฐาน'!$C$8)))*'2.สมมติฐาน'!$C$9,'2.สมมติฐาน'!$C$6)</f>
        <v>6.4122832679134906E-2</v>
      </c>
      <c r="D5" s="19">
        <f>'2.สมมติฐาน'!$C$12*C5</f>
        <v>397.56156261063643</v>
      </c>
      <c r="E5" s="19">
        <v>0</v>
      </c>
      <c r="F5" s="19">
        <f>MAX(D5-E5,0)</f>
        <v>397.56156261063643</v>
      </c>
      <c r="G5" s="20">
        <f>F5/'2.สมมติฐาน'!$C$13</f>
        <v>8.770191758633968E-4</v>
      </c>
      <c r="H5" t="s">
        <v>159</v>
      </c>
    </row>
    <row r="6" spans="1:8" x14ac:dyDescent="0.3">
      <c r="A6" s="10"/>
      <c r="B6" s="17" t="s">
        <v>160</v>
      </c>
      <c r="C6" s="18">
        <f>MIN('2.สมมติฐาน'!$C$6/(1+EXP(-'2.สมมติฐาน'!$C$7*(2019-'2.สมมติฐาน'!$C$8)))*'2.สมมติฐาน'!$C$9,'2.สมมติฐาน'!$C$6)</f>
        <v>7.5574674853534571E-2</v>
      </c>
      <c r="D6" s="19">
        <f>'2.สมมติฐาน'!$C$12*C6</f>
        <v>468.56298409191436</v>
      </c>
      <c r="E6" s="19">
        <v>0</v>
      </c>
      <c r="F6" s="19">
        <f t="shared" ref="F6:F12" si="0">MAX(F5+D6-E6,0)</f>
        <v>866.12454670255079</v>
      </c>
      <c r="G6" s="20">
        <f>F6/'2.สมมติฐาน'!$C$13</f>
        <v>1.910667196184842E-3</v>
      </c>
      <c r="H6" t="s">
        <v>159</v>
      </c>
    </row>
    <row r="7" spans="1:8" x14ac:dyDescent="0.3">
      <c r="A7" s="10"/>
      <c r="B7" s="17" t="s">
        <v>161</v>
      </c>
      <c r="C7" s="18">
        <f>MIN('2.สมมติฐาน'!$C$6/(1+EXP(-'2.สมมติฐาน'!$C$7*(2020-'2.สมมติฐาน'!$C$8)))*'2.สมมติฐาน'!$C$9,'2.สมมติฐาน'!$C$6)</f>
        <v>8.884052398072935E-2</v>
      </c>
      <c r="D7" s="19">
        <f>'2.สมมติฐาน'!$C$12*C7</f>
        <v>550.811248680522</v>
      </c>
      <c r="E7" s="19">
        <v>0</v>
      </c>
      <c r="F7" s="19">
        <f t="shared" si="0"/>
        <v>1416.9357953830727</v>
      </c>
      <c r="G7" s="20">
        <f>F7/'2.สมมติฐาน'!$C$13</f>
        <v>3.1257545507115941E-3</v>
      </c>
      <c r="H7" t="s">
        <v>159</v>
      </c>
    </row>
    <row r="8" spans="1:8" x14ac:dyDescent="0.3">
      <c r="A8" s="10"/>
      <c r="B8" s="17" t="s">
        <v>162</v>
      </c>
      <c r="C8" s="18">
        <f>MIN('2.สมมติฐาน'!$C$6/(1+EXP(-'2.สมมติฐาน'!$C$7*(2021-'2.สมมติฐาน'!$C$8)))*'2.สมมติฐาน'!$C$9,'2.สมมติฐาน'!$C$6)</f>
        <v>0.10412188665040441</v>
      </c>
      <c r="D8" s="19">
        <f>'2.สมมติฐาน'!$C$12*C8</f>
        <v>645.55569723250733</v>
      </c>
      <c r="E8" s="19">
        <v>0</v>
      </c>
      <c r="F8" s="19">
        <f t="shared" si="0"/>
        <v>2062.4914926155798</v>
      </c>
      <c r="G8" s="20">
        <f>F8/'2.สมมติฐาน'!$C$13</f>
        <v>4.5498477699931171E-3</v>
      </c>
      <c r="H8" t="s">
        <v>159</v>
      </c>
    </row>
    <row r="9" spans="1:8" x14ac:dyDescent="0.3">
      <c r="A9" s="10"/>
      <c r="B9" s="17" t="s">
        <v>163</v>
      </c>
      <c r="C9" s="18">
        <f>MIN('2.สมมติฐาน'!$C$6/(1+EXP(-'2.สมมติฐาน'!$C$7*(2022-'2.สมมติฐาน'!$C$8)))*'2.สมมติฐาน'!$C$9,'2.สมมติฐาน'!$C$6)</f>
        <v>0.12161181495806868</v>
      </c>
      <c r="D9" s="19">
        <f>'2.สมมติฐาน'!$C$12*C9</f>
        <v>753.99325274002581</v>
      </c>
      <c r="E9" s="19">
        <v>0</v>
      </c>
      <c r="F9" s="19">
        <f t="shared" si="0"/>
        <v>2816.4847453556058</v>
      </c>
      <c r="G9" s="20">
        <f>F9/'2.สมมติฐาน'!$C$13</f>
        <v>6.2131537917884134E-3</v>
      </c>
      <c r="H9" t="s">
        <v>159</v>
      </c>
    </row>
    <row r="10" spans="1:8" x14ac:dyDescent="0.3">
      <c r="A10" s="10"/>
      <c r="B10" s="17" t="s">
        <v>164</v>
      </c>
      <c r="C10" s="18">
        <f>MIN('2.สมมติฐาน'!$C$6/(1+EXP(-'2.สมมติฐาน'!$C$7*(2023-'2.สมมติฐาน'!$C$8)))*'2.สมมติฐาน'!$C$9,'2.สมมติฐาน'!$C$6)</f>
        <v>0.14148234956188008</v>
      </c>
      <c r="D10" s="19">
        <f>'2.สมมติฐาน'!$C$12*C10</f>
        <v>877.19056728365649</v>
      </c>
      <c r="E10" s="19">
        <v>0</v>
      </c>
      <c r="F10" s="19">
        <f t="shared" si="0"/>
        <v>3693.6753126392623</v>
      </c>
      <c r="G10" s="20">
        <f>F10/'2.สมมติฐาน'!$C$13</f>
        <v>8.1482325839696071E-3</v>
      </c>
      <c r="H10" t="s">
        <v>159</v>
      </c>
    </row>
    <row r="11" spans="1:8" x14ac:dyDescent="0.3">
      <c r="A11" s="10"/>
      <c r="B11" s="17" t="s">
        <v>165</v>
      </c>
      <c r="C11" s="18">
        <f>MIN('2.สมมติฐาน'!$C$6/(1+EXP(-'2.สมมติฐาน'!$C$7*(2024-'2.สมมติฐาน'!$C$8)))*'2.สมมติฐาน'!$C$9,'2.สมมติฐาน'!$C$6)</f>
        <v>0.16386916448048944</v>
      </c>
      <c r="D11" s="19">
        <f>'2.สมมติฐาน'!$C$12*C11</f>
        <v>1015.9888197790345</v>
      </c>
      <c r="E11" s="19">
        <v>0</v>
      </c>
      <c r="F11" s="19">
        <f t="shared" si="0"/>
        <v>4709.6641324182965</v>
      </c>
      <c r="G11" s="20">
        <f>F11/'2.สมมติฐาน'!$C$13</f>
        <v>1.0389499751645223E-2</v>
      </c>
      <c r="H11" t="s">
        <v>159</v>
      </c>
    </row>
    <row r="12" spans="1:8" x14ac:dyDescent="0.3">
      <c r="A12" s="10"/>
      <c r="B12" s="21" t="s">
        <v>166</v>
      </c>
      <c r="C12" s="22">
        <f>MIN('2.สมมติฐาน'!$C$6/(1+EXP(-'2.สมมติฐาน'!$C$7*(2025-'2.สมมติฐาน'!$C$8)))*'2.สมมติฐาน'!$C$9,'2.สมมติฐาน'!$C$6)</f>
        <v>0.18885406803475274</v>
      </c>
      <c r="D12" s="23">
        <f>'2.สมมติฐาน'!$C$12*C12</f>
        <v>1170.895221815467</v>
      </c>
      <c r="E12" s="23">
        <v>0</v>
      </c>
      <c r="F12" s="23">
        <f t="shared" si="0"/>
        <v>5880.5593542337638</v>
      </c>
      <c r="G12" s="24">
        <f>F12/'2.สมมติฐาน'!$C$13</f>
        <v>1.2972489806608643E-2</v>
      </c>
      <c r="H12" t="s">
        <v>159</v>
      </c>
    </row>
    <row r="13" spans="1:8" x14ac:dyDescent="0.3">
      <c r="A13" s="10"/>
      <c r="B13" s="62" t="s">
        <v>167</v>
      </c>
      <c r="C13" s="63">
        <f>MIN('2.สมมติฐาน'!$C$6/(1+EXP(-'2.สมมติฐาน'!$C$7*(2026-'2.สมมติฐาน'!$C$8)))*'2.สมมติฐาน'!$C$9,'2.สมมติฐาน'!$C$6)</f>
        <v>0.21644666841468133</v>
      </c>
      <c r="D13" s="64">
        <f>'2.สมมติฐาน'!$C$12*C13</f>
        <v>1341.9693441710242</v>
      </c>
      <c r="E13" s="64">
        <v>0</v>
      </c>
      <c r="F13" s="64">
        <f>'2.สมมติฐาน'!$B$39</f>
        <v>15229</v>
      </c>
      <c r="G13" s="65">
        <f>F13/'2.สมมติฐาน'!$C$13</f>
        <v>3.3595111513092586E-2</v>
      </c>
      <c r="H13" s="66" t="s">
        <v>168</v>
      </c>
    </row>
    <row r="14" spans="1:8" x14ac:dyDescent="0.3">
      <c r="A14" s="10"/>
      <c r="B14" s="17" t="s">
        <v>169</v>
      </c>
      <c r="C14" s="18">
        <f>MIN('2.สมมติฐาน'!$C$6/(1+EXP(-'2.สมมติฐาน'!$C$7*(2027-'2.สมมติฐาน'!$C$8)))*'2.สมมติฐาน'!$C$9,'2.สมมติฐาน'!$C$6)</f>
        <v>0.2465672194157148</v>
      </c>
      <c r="D14" s="19">
        <f>'2.สมมติฐาน'!$C$12*C14</f>
        <v>1528.7167603774317</v>
      </c>
      <c r="E14" s="19">
        <v>0</v>
      </c>
      <c r="F14" s="19">
        <f t="shared" ref="F14:F27" si="1">MAX(F13+D14-E14,0)</f>
        <v>16757.716760377432</v>
      </c>
      <c r="G14" s="20">
        <f>F14/'2.สมมติฐาน'!$C$13</f>
        <v>3.6967454413927403E-2</v>
      </c>
      <c r="H14" t="s">
        <v>170</v>
      </c>
    </row>
    <row r="15" spans="1:8" x14ac:dyDescent="0.3">
      <c r="A15" s="10"/>
      <c r="B15" s="17" t="s">
        <v>171</v>
      </c>
      <c r="C15" s="18">
        <f>MIN('2.สมมติฐาน'!$C$6/(1+EXP(-'2.สมมติฐาน'!$C$7*(2028-'2.สมมติฐาน'!$C$8)))*'2.สมมติฐาน'!$C$9,'2.สมมติฐาน'!$C$6)</f>
        <v>0.2790332549556318</v>
      </c>
      <c r="D15" s="19">
        <f>'2.สมมติฐาน'!$C$12*C15</f>
        <v>1730.0061807249172</v>
      </c>
      <c r="E15" s="19">
        <v>0</v>
      </c>
      <c r="F15" s="19">
        <f t="shared" si="1"/>
        <v>18487.722941102351</v>
      </c>
      <c r="G15" s="20">
        <f>F15/'2.สมมติฐาน'!$C$13</f>
        <v>4.0783840950127617E-2</v>
      </c>
      <c r="H15" t="s">
        <v>170</v>
      </c>
    </row>
    <row r="16" spans="1:8" x14ac:dyDescent="0.3">
      <c r="A16" s="10"/>
      <c r="B16" s="17" t="s">
        <v>172</v>
      </c>
      <c r="C16" s="18">
        <f>MIN('2.สมมติฐาน'!$C$6/(1+EXP(-'2.สมมติฐาน'!$C$7*(2029-'2.สมมติฐาน'!$C$8)))*'2.สมมติฐาน'!$C$9,'2.สมมติฐาน'!$C$6)</f>
        <v>0.31355287413391131</v>
      </c>
      <c r="D16" s="19">
        <f>'2.สมมติฐาน'!$C$12*C16</f>
        <v>1944.0278196302502</v>
      </c>
      <c r="E16" s="19">
        <v>0</v>
      </c>
      <c r="F16" s="19">
        <f t="shared" si="1"/>
        <v>20431.750760732601</v>
      </c>
      <c r="G16" s="20">
        <f>F16/'2.สมมติฐาน'!$C$13</f>
        <v>4.5072358343589601E-2</v>
      </c>
      <c r="H16" t="s">
        <v>170</v>
      </c>
    </row>
    <row r="17" spans="1:8" x14ac:dyDescent="0.3">
      <c r="A17" s="10"/>
      <c r="B17" s="21" t="s">
        <v>173</v>
      </c>
      <c r="C17" s="22">
        <f>MIN('2.สมมติฐาน'!$C$6/(1+EXP(-'2.สมมติฐาน'!$C$7*(2030-'2.สมมติฐาน'!$C$8)))*'2.สมมติฐาน'!$C$9,'2.สมมติฐาน'!$C$6)</f>
        <v>0.34972722627204517</v>
      </c>
      <c r="D17" s="23">
        <f>'2.สมมติฐาน'!$C$12*C17</f>
        <v>2168.30880288668</v>
      </c>
      <c r="E17" s="23">
        <v>0</v>
      </c>
      <c r="F17" s="23">
        <f t="shared" si="1"/>
        <v>22600.059563619281</v>
      </c>
      <c r="G17" s="24">
        <f>F17/'2.สมมติฐาน'!$C$13</f>
        <v>4.9855638665856218E-2</v>
      </c>
      <c r="H17" t="s">
        <v>170</v>
      </c>
    </row>
    <row r="18" spans="1:8" x14ac:dyDescent="0.3">
      <c r="A18" s="10"/>
      <c r="B18" s="17" t="s">
        <v>174</v>
      </c>
      <c r="C18" s="18">
        <f>MIN('2.สมมติฐาน'!$C$6/(1+EXP(-'2.สมมติฐาน'!$C$7*(2031-'2.สมมติฐาน'!$C$8)))*'2.สมมติฐาน'!$C$9,'2.สมมติฐาน'!$C$6)</f>
        <v>0.38706373892751278</v>
      </c>
      <c r="D18" s="19">
        <f>'2.สมมติฐาน'!$C$12*C18</f>
        <v>2399.7951813505792</v>
      </c>
      <c r="E18" s="19">
        <v>0</v>
      </c>
      <c r="F18" s="19">
        <f t="shared" si="1"/>
        <v>24999.85474496986</v>
      </c>
      <c r="G18" s="20">
        <f>F18/'2.สมมติฐาน'!$C$13</f>
        <v>5.5149576989190312E-2</v>
      </c>
      <c r="H18" t="s">
        <v>170</v>
      </c>
    </row>
    <row r="19" spans="1:8" x14ac:dyDescent="0.3">
      <c r="A19" s="10"/>
      <c r="B19" s="17" t="s">
        <v>175</v>
      </c>
      <c r="C19" s="18">
        <f>MIN('2.สมมติฐาน'!$C$6/(1+EXP(-'2.สมมติฐาน'!$C$7*(2032-'2.สมมติฐาน'!$C$8)))*'2.สมมติฐาน'!$C$9,'2.สมมติฐาน'!$C$6)</f>
        <v>0.42499999999999999</v>
      </c>
      <c r="D19" s="19">
        <f>'2.สมมติฐาน'!$C$12*C19</f>
        <v>2635</v>
      </c>
      <c r="E19" s="19">
        <f>'2.สมมติฐาน'!$C$12*C5</f>
        <v>397.56156261063643</v>
      </c>
      <c r="F19" s="19">
        <f t="shared" si="1"/>
        <v>27237.293182359223</v>
      </c>
      <c r="G19" s="20">
        <f>F19/'2.สมมติฐาน'!$C$13</f>
        <v>6.0085357001520422E-2</v>
      </c>
      <c r="H19" t="s">
        <v>170</v>
      </c>
    </row>
    <row r="20" spans="1:8" x14ac:dyDescent="0.3">
      <c r="A20" s="10"/>
      <c r="B20" s="17" t="s">
        <v>176</v>
      </c>
      <c r="C20" s="18">
        <f>MIN('2.สมมติฐาน'!$C$6/(1+EXP(-'2.สมมติฐาน'!$C$7*(2033-'2.สมมติฐาน'!$C$8)))*'2.สมมติฐาน'!$C$9,'2.สมมติฐาน'!$C$6)</f>
        <v>0.46293626107248725</v>
      </c>
      <c r="D20" s="19">
        <f>'2.สมมติฐาน'!$C$12*C20</f>
        <v>2870.2048186494208</v>
      </c>
      <c r="E20" s="19">
        <f>'2.สมมติฐาน'!$C$12*C6</f>
        <v>468.56298409191436</v>
      </c>
      <c r="F20" s="19">
        <f t="shared" si="1"/>
        <v>29638.93501691673</v>
      </c>
      <c r="G20" s="20">
        <f>F20/'2.สมมติฐาน'!$C$13</f>
        <v>6.5383369034251904E-2</v>
      </c>
      <c r="H20" t="s">
        <v>170</v>
      </c>
    </row>
    <row r="21" spans="1:8" x14ac:dyDescent="0.3">
      <c r="A21" s="10"/>
      <c r="B21" s="17" t="s">
        <v>177</v>
      </c>
      <c r="C21" s="18">
        <f>MIN('2.สมมติฐาน'!$C$6/(1+EXP(-'2.สมมติฐาน'!$C$7*(2034-'2.สมมติฐาน'!$C$8)))*'2.สมมติฐาน'!$C$9,'2.สมมติฐาน'!$C$6)</f>
        <v>0.50027277372795476</v>
      </c>
      <c r="D21" s="19">
        <f>'2.สมมติฐาน'!$C$12*C21</f>
        <v>3101.6911971133195</v>
      </c>
      <c r="E21" s="19">
        <f>'2.สมมติฐาน'!$C$12*C7</f>
        <v>550.811248680522</v>
      </c>
      <c r="F21" s="19">
        <f t="shared" si="1"/>
        <v>32189.814965349527</v>
      </c>
      <c r="G21" s="20">
        <f>F21/'2.สมมติฐาน'!$C$13</f>
        <v>7.1010599733845547E-2</v>
      </c>
      <c r="H21" t="s">
        <v>170</v>
      </c>
    </row>
    <row r="22" spans="1:8" x14ac:dyDescent="0.3">
      <c r="A22" s="10"/>
      <c r="B22" s="17" t="s">
        <v>178</v>
      </c>
      <c r="C22" s="18">
        <f>MIN('2.สมมติฐาน'!$C$6/(1+EXP(-'2.สมมติฐาน'!$C$7*(2035-'2.สมมติฐาน'!$C$8)))*'2.สมมติฐาน'!$C$9,'2.สมมติฐาน'!$C$6)</f>
        <v>0.53644712586608867</v>
      </c>
      <c r="D22" s="19">
        <f>'2.สมมติฐาน'!$C$12*C22</f>
        <v>3325.9721803697498</v>
      </c>
      <c r="E22" s="19">
        <f>'2.สมมติฐาน'!$C$12*C8</f>
        <v>645.55569723250733</v>
      </c>
      <c r="F22" s="19">
        <f t="shared" si="1"/>
        <v>34870.231448486767</v>
      </c>
      <c r="G22" s="20">
        <f>F22/'2.สมมติฐาน'!$C$13</f>
        <v>7.6923587497489065E-2</v>
      </c>
      <c r="H22" t="s">
        <v>170</v>
      </c>
    </row>
    <row r="23" spans="1:8" x14ac:dyDescent="0.3">
      <c r="A23" s="10"/>
      <c r="B23" s="17" t="s">
        <v>179</v>
      </c>
      <c r="C23" s="18">
        <f>MIN('2.สมมติฐาน'!$C$6/(1+EXP(-'2.สมมติฐาน'!$C$7*(2036-'2.สมมติฐาน'!$C$8)))*'2.สมมติฐาน'!$C$9,'2.สมมติฐาน'!$C$6)</f>
        <v>0.57096674504436817</v>
      </c>
      <c r="D23" s="19">
        <f>'2.สมมติฐาน'!$C$12*C23</f>
        <v>3539.9938192750828</v>
      </c>
      <c r="E23" s="19">
        <f>'2.สมมติฐาน'!$C$12*C9</f>
        <v>753.99325274002581</v>
      </c>
      <c r="F23" s="19">
        <f t="shared" si="1"/>
        <v>37656.232015021829</v>
      </c>
      <c r="G23" s="20">
        <f>F23/'2.สมมติฐาน'!$C$13</f>
        <v>8.3069493315880594E-2</v>
      </c>
      <c r="H23" t="s">
        <v>170</v>
      </c>
    </row>
    <row r="24" spans="1:8" x14ac:dyDescent="0.3">
      <c r="A24" s="10"/>
      <c r="B24" s="17" t="s">
        <v>180</v>
      </c>
      <c r="C24" s="18">
        <f>MIN('2.สมมติฐาน'!$C$6/(1+EXP(-'2.สมมติฐาน'!$C$7*(2037-'2.สมมติฐาน'!$C$8)))*'2.สมมติฐาน'!$C$9,'2.สมมติฐาน'!$C$6)</f>
        <v>0.60343278058428518</v>
      </c>
      <c r="D24" s="19">
        <f>'2.สมมติฐาน'!$C$12*C24</f>
        <v>3741.2832396225681</v>
      </c>
      <c r="E24" s="19">
        <f>'2.สมมติฐาน'!$C$12*C10</f>
        <v>877.19056728365649</v>
      </c>
      <c r="F24" s="19">
        <f t="shared" si="1"/>
        <v>40520.324687360742</v>
      </c>
      <c r="G24" s="20">
        <f>F24/'2.สมมติฐาน'!$C$13</f>
        <v>8.9387669999251601E-2</v>
      </c>
      <c r="H24" t="s">
        <v>170</v>
      </c>
    </row>
    <row r="25" spans="1:8" x14ac:dyDescent="0.3">
      <c r="A25" s="10"/>
      <c r="B25" s="17" t="s">
        <v>181</v>
      </c>
      <c r="C25" s="18">
        <f>MIN('2.สมมติฐาน'!$C$6/(1+EXP(-'2.สมมติฐาน'!$C$7*(2038-'2.สมมติฐาน'!$C$8)))*'2.สมมติฐาน'!$C$9,'2.สมมติฐาน'!$C$6)</f>
        <v>0.63355333158531868</v>
      </c>
      <c r="D25" s="19">
        <f>'2.สมมติฐาน'!$C$12*C25</f>
        <v>3928.0306558289758</v>
      </c>
      <c r="E25" s="19">
        <f>'2.สมมติฐาน'!$C$12*C11</f>
        <v>1015.9888197790345</v>
      </c>
      <c r="F25" s="19">
        <f t="shared" si="1"/>
        <v>43432.366523410681</v>
      </c>
      <c r="G25" s="20">
        <f>F25/'2.สมมติฐาน'!$C$13</f>
        <v>9.5811622341026415E-2</v>
      </c>
      <c r="H25" t="s">
        <v>170</v>
      </c>
    </row>
    <row r="26" spans="1:8" x14ac:dyDescent="0.3">
      <c r="A26" s="10"/>
      <c r="B26" s="17" t="s">
        <v>182</v>
      </c>
      <c r="C26" s="18">
        <f>MIN('2.สมมติฐาน'!$C$6/(1+EXP(-'2.สมมติฐาน'!$C$7*(2039-'2.สมมติฐาน'!$C$8)))*'2.สมมติฐาน'!$C$9,'2.สมมติฐาน'!$C$6)</f>
        <v>0.66114593196524729</v>
      </c>
      <c r="D26" s="19">
        <f>'2.สมมติฐาน'!$C$12*C26</f>
        <v>4099.1047781845336</v>
      </c>
      <c r="E26" s="19">
        <f>'2.สมมติฐาน'!$C$12*C12</f>
        <v>1170.895221815467</v>
      </c>
      <c r="F26" s="19">
        <f t="shared" si="1"/>
        <v>46360.576079779748</v>
      </c>
      <c r="G26" s="20">
        <f>F26/'2.สมมติฐาน'!$C$13</f>
        <v>0.10227124060748659</v>
      </c>
      <c r="H26" t="s">
        <v>170</v>
      </c>
    </row>
    <row r="27" spans="1:8" x14ac:dyDescent="0.3">
      <c r="A27" s="10"/>
      <c r="B27" s="17" t="s">
        <v>183</v>
      </c>
      <c r="C27" s="18">
        <f>MIN('2.สมมติฐาน'!$C$6/(1+EXP(-'2.สมมติฐาน'!$C$7*(2040-'2.สมมติฐาน'!$C$8)))*'2.สมมติฐาน'!$C$9,'2.สมมติฐาน'!$C$6)</f>
        <v>0.6861308355195106</v>
      </c>
      <c r="D27" s="19">
        <f>'2.สมมติฐาน'!$C$12*C27</f>
        <v>4254.0111802209658</v>
      </c>
      <c r="E27" s="19">
        <f>'2.สมมติฐาน'!$C$12*C13</f>
        <v>1341.9693441710242</v>
      </c>
      <c r="F27" s="19">
        <f t="shared" si="1"/>
        <v>49272.617915829687</v>
      </c>
      <c r="G27" s="20">
        <f>F27/'2.สมมติฐาน'!$C$13</f>
        <v>0.1086951929492614</v>
      </c>
      <c r="H27" t="s">
        <v>170</v>
      </c>
    </row>
    <row r="28" spans="1:8" x14ac:dyDescent="0.3">
      <c r="A28" s="10"/>
      <c r="B28" s="10"/>
      <c r="C28" s="10"/>
      <c r="D28" s="10"/>
      <c r="E28" s="10"/>
      <c r="F28" s="10"/>
      <c r="G28" s="10"/>
    </row>
    <row r="29" spans="1:8" ht="39.75" customHeight="1" x14ac:dyDescent="0.3">
      <c r="A29" s="10"/>
      <c r="B29" s="75" t="s">
        <v>184</v>
      </c>
      <c r="C29" s="68"/>
      <c r="D29" s="68"/>
      <c r="E29" s="68"/>
      <c r="F29" s="68"/>
      <c r="G29" s="68"/>
    </row>
  </sheetData>
  <mergeCells count="1">
    <mergeCell ref="B29:G2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tabSelected="1" topLeftCell="A4" zoomScale="110" zoomScaleNormal="110" workbookViewId="0">
      <selection activeCell="C13" sqref="C13"/>
    </sheetView>
  </sheetViews>
  <sheetFormatPr defaultColWidth="8.6640625" defaultRowHeight="14.4" x14ac:dyDescent="0.3"/>
  <cols>
    <col min="1" max="1" width="13.109375" customWidth="1"/>
    <col min="2" max="2" width="36" customWidth="1"/>
    <col min="3" max="3" width="16" customWidth="1"/>
    <col min="4" max="4" width="4" customWidth="1"/>
    <col min="5" max="5" width="42" customWidth="1"/>
  </cols>
  <sheetData>
    <row r="1" spans="1:5" ht="20.399999999999999" customHeight="1" x14ac:dyDescent="0.3">
      <c r="A1" s="9" t="s">
        <v>185</v>
      </c>
      <c r="B1" s="10"/>
      <c r="C1" s="10"/>
      <c r="D1" s="10"/>
      <c r="E1" s="10"/>
    </row>
    <row r="2" spans="1:5" ht="43.2" customHeight="1" x14ac:dyDescent="0.3">
      <c r="A2" s="11"/>
      <c r="B2" s="10" t="s">
        <v>186</v>
      </c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ht="15.6" customHeight="1" x14ac:dyDescent="0.3">
      <c r="A4" s="10"/>
      <c r="B4" s="25" t="s">
        <v>187</v>
      </c>
      <c r="C4" s="26">
        <v>2026</v>
      </c>
      <c r="D4" s="10"/>
      <c r="E4" s="10"/>
    </row>
    <row r="5" spans="1:5" x14ac:dyDescent="0.3">
      <c r="A5" s="10"/>
      <c r="B5" s="10"/>
      <c r="C5" s="10"/>
      <c r="D5" s="10"/>
      <c r="E5" s="10"/>
    </row>
    <row r="6" spans="1:5" x14ac:dyDescent="0.3">
      <c r="A6" s="10"/>
      <c r="B6" s="2" t="s">
        <v>188</v>
      </c>
      <c r="C6" s="2" t="s">
        <v>189</v>
      </c>
      <c r="D6" s="2"/>
      <c r="E6" s="2" t="s">
        <v>190</v>
      </c>
    </row>
    <row r="7" spans="1:5" x14ac:dyDescent="0.3">
      <c r="A7" s="10"/>
      <c r="B7" s="27" t="s">
        <v>191</v>
      </c>
      <c r="C7" s="28">
        <f>INDEX('3.S-curve การยอมรับ'!F:F,MATCH(TEXT('4.Demand สถานี'!$C$4,"0"),'3.S-curve การยอมรับ'!B:B,0))</f>
        <v>15229</v>
      </c>
      <c r="D7" s="77" t="s">
        <v>192</v>
      </c>
      <c r="E7" s="68"/>
    </row>
    <row r="8" spans="1:5" ht="24" customHeight="1" x14ac:dyDescent="0.3">
      <c r="A8" s="10"/>
      <c r="B8" s="13" t="s">
        <v>193</v>
      </c>
      <c r="C8" s="29">
        <f>ROUND(C7*'2.สมมติฐาน'!$C$23*'2.สมมติฐาน'!$C$24/7*'2.สมมติฐาน'!$C$25,0)</f>
        <v>228</v>
      </c>
      <c r="D8" s="76" t="s">
        <v>294</v>
      </c>
      <c r="E8" s="68"/>
    </row>
    <row r="9" spans="1:5" ht="24" customHeight="1" x14ac:dyDescent="0.3">
      <c r="A9" s="10"/>
      <c r="B9" s="13" t="s">
        <v>194</v>
      </c>
      <c r="C9" s="29">
        <f>ROUND('2.สมมติฐาน'!$C$26*'2.สมมติฐาน'!$C$27*1*0.3,0)</f>
        <v>60</v>
      </c>
      <c r="D9" s="76" t="s">
        <v>195</v>
      </c>
      <c r="E9" s="68"/>
    </row>
    <row r="10" spans="1:5" ht="24" customHeight="1" x14ac:dyDescent="0.3">
      <c r="A10" s="10"/>
      <c r="B10" s="13" t="s">
        <v>196</v>
      </c>
      <c r="C10" s="29">
        <f>ROUND('2.สมมติฐาน'!$C$28*0.1*4*0.05*0.5*0.3*0.25,0)</f>
        <v>25</v>
      </c>
      <c r="D10" s="76" t="s">
        <v>197</v>
      </c>
      <c r="E10" s="68"/>
    </row>
    <row r="11" spans="1:5" ht="24" customHeight="1" x14ac:dyDescent="0.3">
      <c r="A11" s="10"/>
      <c r="B11" s="13" t="s">
        <v>198</v>
      </c>
      <c r="C11" s="29">
        <f>ROUND(20*0.25,0)</f>
        <v>5</v>
      </c>
      <c r="D11" s="76" t="s">
        <v>199</v>
      </c>
      <c r="E11" s="68"/>
    </row>
    <row r="12" spans="1:5" x14ac:dyDescent="0.3">
      <c r="A12" s="10"/>
      <c r="B12" s="30" t="s">
        <v>200</v>
      </c>
      <c r="C12" s="31">
        <f>SUM(C8:C11)</f>
        <v>318</v>
      </c>
      <c r="D12" s="10"/>
      <c r="E12" s="10"/>
    </row>
    <row r="13" spans="1:5" ht="26.4" customHeight="1" x14ac:dyDescent="0.3">
      <c r="A13" s="10"/>
      <c r="B13" s="32" t="s">
        <v>201</v>
      </c>
      <c r="C13" s="33">
        <f>ROUND(C12*'2.สมมติฐาน'!$C$29,0)</f>
        <v>209</v>
      </c>
      <c r="D13" s="10"/>
      <c r="E13" s="10"/>
    </row>
    <row r="14" spans="1:5" x14ac:dyDescent="0.3">
      <c r="A14" s="10"/>
      <c r="B14" s="27" t="s">
        <v>202</v>
      </c>
      <c r="C14" s="34">
        <f>ROUND(C13*'2.สมมติฐาน'!$C$30,0)</f>
        <v>6688</v>
      </c>
      <c r="D14" s="10"/>
      <c r="E14" s="10"/>
    </row>
    <row r="15" spans="1:5" x14ac:dyDescent="0.3">
      <c r="A15" s="10"/>
      <c r="B15" s="27" t="s">
        <v>203</v>
      </c>
      <c r="C15" s="35">
        <f>C13/(12*'2.สมมติฐาน'!$C$31)</f>
        <v>0.79166666666666663</v>
      </c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5" ht="39.75" customHeight="1" x14ac:dyDescent="0.3">
      <c r="A17" s="10"/>
      <c r="B17" s="75" t="s">
        <v>204</v>
      </c>
      <c r="C17" s="68"/>
      <c r="D17" s="68"/>
      <c r="E17" s="68"/>
    </row>
  </sheetData>
  <mergeCells count="6">
    <mergeCell ref="D8:E8"/>
    <mergeCell ref="B17:E17"/>
    <mergeCell ref="D7:E7"/>
    <mergeCell ref="D10:E10"/>
    <mergeCell ref="D11:E11"/>
    <mergeCell ref="D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selection activeCell="I14" sqref="I14"/>
    </sheetView>
  </sheetViews>
  <sheetFormatPr defaultColWidth="8.6640625" defaultRowHeight="14.4" x14ac:dyDescent="0.3"/>
  <cols>
    <col min="1" max="1" width="3" customWidth="1"/>
    <col min="2" max="2" width="16" customWidth="1"/>
    <col min="3" max="5" width="18" customWidth="1"/>
    <col min="6" max="6" width="30" customWidth="1"/>
  </cols>
  <sheetData>
    <row r="1" spans="1:6" ht="20.399999999999999" customHeight="1" x14ac:dyDescent="0.3">
      <c r="A1" s="49" t="s">
        <v>0</v>
      </c>
      <c r="B1" s="10"/>
      <c r="C1" s="10"/>
      <c r="D1" s="10"/>
      <c r="E1" s="10"/>
      <c r="F1" s="10"/>
    </row>
    <row r="2" spans="1:6" x14ac:dyDescent="0.3">
      <c r="A2" s="48" t="s">
        <v>1</v>
      </c>
      <c r="B2" s="51"/>
      <c r="C2" s="10"/>
      <c r="D2" s="10"/>
      <c r="E2" s="10"/>
      <c r="F2" s="10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10"/>
      <c r="B4" s="57" t="s">
        <v>2</v>
      </c>
      <c r="C4" s="10"/>
      <c r="D4" s="10"/>
      <c r="E4" s="10"/>
      <c r="F4" s="10"/>
    </row>
    <row r="5" spans="1:6" x14ac:dyDescent="0.3">
      <c r="A5" s="10"/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x14ac:dyDescent="0.3">
      <c r="A6" s="10"/>
      <c r="B6" s="36" t="s">
        <v>8</v>
      </c>
      <c r="C6" s="37">
        <v>0.14199999999999999</v>
      </c>
      <c r="D6" s="38">
        <v>0.15</v>
      </c>
      <c r="E6" s="39">
        <f>(C6-D6)*100</f>
        <v>-0.80000000000000071</v>
      </c>
      <c r="F6" s="40" t="s">
        <v>9</v>
      </c>
    </row>
    <row r="7" spans="1:6" x14ac:dyDescent="0.3">
      <c r="A7" s="10"/>
      <c r="B7" s="36" t="s">
        <v>10</v>
      </c>
      <c r="C7" s="37">
        <v>0.16400000000000001</v>
      </c>
      <c r="D7" s="38">
        <v>0.14000000000000001</v>
      </c>
      <c r="E7" s="39">
        <f>(C7-D7)*100</f>
        <v>2.3999999999999995</v>
      </c>
      <c r="F7" s="40" t="s">
        <v>11</v>
      </c>
    </row>
    <row r="8" spans="1:6" x14ac:dyDescent="0.3">
      <c r="A8" s="10"/>
      <c r="B8" s="36" t="s">
        <v>12</v>
      </c>
      <c r="C8" s="37">
        <v>0.189</v>
      </c>
      <c r="D8" s="38">
        <v>0.19400000000000001</v>
      </c>
      <c r="E8" s="39">
        <f>(C8-D8)*100</f>
        <v>-0.50000000000000044</v>
      </c>
      <c r="F8" s="40" t="s">
        <v>13</v>
      </c>
    </row>
    <row r="9" spans="1:6" ht="26.4" customHeight="1" x14ac:dyDescent="0.3">
      <c r="A9" s="10"/>
      <c r="B9" s="41" t="s">
        <v>14</v>
      </c>
      <c r="C9" s="42">
        <f>AVERAGE(ABS(C6-D6)/D6,ABS(C7-D7)/D7,ABS(C8-D8)/D8)</f>
        <v>8.3511700212731146E-2</v>
      </c>
      <c r="D9" s="10"/>
      <c r="E9" s="10"/>
      <c r="F9" s="10"/>
    </row>
    <row r="10" spans="1:6" x14ac:dyDescent="0.3">
      <c r="A10" s="10"/>
      <c r="B10" s="41" t="s">
        <v>15</v>
      </c>
      <c r="C10" s="43">
        <f>SQRT(AVERAGE(E6^2,E7^2,E8^2))</f>
        <v>1.4888474289418194</v>
      </c>
      <c r="D10" s="10"/>
      <c r="E10" s="10"/>
      <c r="F10" s="10"/>
    </row>
    <row r="11" spans="1:6" x14ac:dyDescent="0.3">
      <c r="A11" s="10"/>
      <c r="B11" s="10"/>
      <c r="C11" s="10"/>
      <c r="D11" s="10"/>
      <c r="E11" s="10"/>
      <c r="F11" s="10"/>
    </row>
    <row r="12" spans="1:6" x14ac:dyDescent="0.3">
      <c r="A12" s="10"/>
      <c r="B12" s="57" t="s">
        <v>16</v>
      </c>
      <c r="C12" s="10"/>
      <c r="D12" s="10"/>
      <c r="E12" s="10"/>
      <c r="F12" s="10"/>
    </row>
    <row r="13" spans="1:6" x14ac:dyDescent="0.3">
      <c r="A13" s="10"/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</row>
    <row r="14" spans="1:6" ht="26.4" customHeight="1" x14ac:dyDescent="0.3">
      <c r="A14" s="10"/>
      <c r="B14" s="13" t="s">
        <v>22</v>
      </c>
      <c r="C14" s="44">
        <v>130</v>
      </c>
      <c r="D14" s="45">
        <v>130</v>
      </c>
      <c r="E14" s="37">
        <f>ABS(D14-C14)/C14</f>
        <v>0</v>
      </c>
      <c r="F14" s="40" t="s">
        <v>23</v>
      </c>
    </row>
    <row r="15" spans="1:6" x14ac:dyDescent="0.3">
      <c r="A15" s="10"/>
      <c r="B15" s="10"/>
      <c r="C15" s="10"/>
      <c r="D15" s="10"/>
      <c r="E15" s="10"/>
      <c r="F15" s="10"/>
    </row>
    <row r="16" spans="1:6" ht="15" customHeight="1" x14ac:dyDescent="0.3">
      <c r="A16" s="10"/>
      <c r="B16" s="67" t="s">
        <v>24</v>
      </c>
      <c r="C16" s="68"/>
      <c r="D16" s="68"/>
      <c r="E16" s="68"/>
      <c r="F16" s="68"/>
    </row>
    <row r="17" spans="1:6" x14ac:dyDescent="0.3">
      <c r="A17" s="10"/>
      <c r="B17" s="68"/>
      <c r="C17" s="68"/>
      <c r="D17" s="68"/>
      <c r="E17" s="68"/>
      <c r="F17" s="68"/>
    </row>
    <row r="18" spans="1:6" x14ac:dyDescent="0.3">
      <c r="A18" s="10"/>
      <c r="B18" s="68"/>
      <c r="C18" s="68"/>
      <c r="D18" s="68"/>
      <c r="E18" s="68"/>
      <c r="F18" s="68"/>
    </row>
  </sheetData>
  <mergeCells count="1">
    <mergeCell ref="B16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topLeftCell="A4" zoomScaleNormal="100" workbookViewId="0">
      <selection activeCell="H9" sqref="H9"/>
    </sheetView>
  </sheetViews>
  <sheetFormatPr defaultColWidth="8.6640625" defaultRowHeight="14.4" x14ac:dyDescent="0.3"/>
  <cols>
    <col min="1" max="1" width="3" customWidth="1"/>
    <col min="2" max="2" width="26" customWidth="1"/>
    <col min="3" max="4" width="42" customWidth="1"/>
  </cols>
  <sheetData>
    <row r="1" spans="1:4" ht="20.399999999999999" customHeight="1" x14ac:dyDescent="0.3">
      <c r="A1" s="49" t="s">
        <v>205</v>
      </c>
      <c r="B1" s="10"/>
      <c r="C1" s="10"/>
      <c r="D1" s="10"/>
    </row>
    <row r="2" spans="1:4" x14ac:dyDescent="0.3">
      <c r="A2" s="48"/>
      <c r="B2" s="51" t="s">
        <v>206</v>
      </c>
      <c r="C2" s="10"/>
      <c r="D2" s="10"/>
    </row>
    <row r="3" spans="1:4" x14ac:dyDescent="0.3">
      <c r="A3" s="10"/>
      <c r="B3" s="10"/>
      <c r="C3" s="10"/>
      <c r="D3" s="10"/>
    </row>
    <row r="4" spans="1:4" x14ac:dyDescent="0.3">
      <c r="A4" s="10"/>
      <c r="B4" s="2" t="s">
        <v>207</v>
      </c>
      <c r="C4" s="2" t="s">
        <v>208</v>
      </c>
      <c r="D4" s="2" t="s">
        <v>209</v>
      </c>
    </row>
    <row r="5" spans="1:4" ht="45.75" customHeight="1" x14ac:dyDescent="0.3">
      <c r="A5" s="10"/>
      <c r="B5" s="7" t="s">
        <v>210</v>
      </c>
      <c r="C5" s="4" t="s">
        <v>211</v>
      </c>
      <c r="D5" s="8" t="s">
        <v>212</v>
      </c>
    </row>
    <row r="6" spans="1:4" ht="45.75" customHeight="1" x14ac:dyDescent="0.3">
      <c r="A6" s="10"/>
      <c r="B6" s="7" t="s">
        <v>213</v>
      </c>
      <c r="C6" s="4" t="s">
        <v>214</v>
      </c>
      <c r="D6" s="8" t="s">
        <v>215</v>
      </c>
    </row>
    <row r="7" spans="1:4" ht="45.75" customHeight="1" x14ac:dyDescent="0.3">
      <c r="A7" s="10"/>
      <c r="B7" s="7" t="s">
        <v>216</v>
      </c>
      <c r="C7" s="4" t="s">
        <v>217</v>
      </c>
      <c r="D7" s="8" t="s">
        <v>218</v>
      </c>
    </row>
    <row r="8" spans="1:4" ht="45.75" customHeight="1" x14ac:dyDescent="0.3">
      <c r="A8" s="10"/>
      <c r="B8" s="7" t="s">
        <v>219</v>
      </c>
      <c r="C8" s="4" t="s">
        <v>220</v>
      </c>
      <c r="D8" s="8" t="s">
        <v>221</v>
      </c>
    </row>
    <row r="9" spans="1:4" ht="45.75" customHeight="1" x14ac:dyDescent="0.3">
      <c r="A9" s="10"/>
      <c r="B9" s="7" t="s">
        <v>222</v>
      </c>
      <c r="C9" s="4" t="s">
        <v>223</v>
      </c>
      <c r="D9" s="8" t="s">
        <v>224</v>
      </c>
    </row>
    <row r="10" spans="1:4" ht="45.75" customHeight="1" x14ac:dyDescent="0.3">
      <c r="A10" s="10"/>
      <c r="B10" s="7" t="s">
        <v>225</v>
      </c>
      <c r="C10" s="4" t="s">
        <v>226</v>
      </c>
      <c r="D10" s="8" t="s">
        <v>227</v>
      </c>
    </row>
    <row r="11" spans="1:4" ht="45.75" customHeight="1" x14ac:dyDescent="0.3">
      <c r="A11" s="10"/>
      <c r="B11" s="7" t="s">
        <v>228</v>
      </c>
      <c r="C11" s="4" t="s">
        <v>229</v>
      </c>
      <c r="D11" s="8" t="s">
        <v>230</v>
      </c>
    </row>
    <row r="12" spans="1:4" x14ac:dyDescent="0.3">
      <c r="A12" s="10"/>
      <c r="B12" s="10"/>
      <c r="C12" s="10"/>
      <c r="D12" s="10"/>
    </row>
    <row r="13" spans="1:4" ht="43.5" customHeight="1" x14ac:dyDescent="0.3">
      <c r="A13" s="10"/>
      <c r="B13" s="78" t="s">
        <v>231</v>
      </c>
      <c r="C13" s="68"/>
      <c r="D13" s="68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4" customWidth="1"/>
    <col min="2" max="2" width="42" customWidth="1"/>
    <col min="3" max="3" width="18" customWidth="1"/>
    <col min="4" max="4" width="14" customWidth="1"/>
    <col min="5" max="5" width="24" customWidth="1"/>
    <col min="6" max="6" width="14" customWidth="1"/>
    <col min="7" max="7" width="58" customWidth="1"/>
  </cols>
  <sheetData>
    <row r="1" spans="1:7" x14ac:dyDescent="0.3">
      <c r="A1" s="54" t="s">
        <v>232</v>
      </c>
      <c r="B1" s="54" t="s">
        <v>233</v>
      </c>
      <c r="C1" s="54" t="s">
        <v>54</v>
      </c>
      <c r="D1" s="54" t="s">
        <v>71</v>
      </c>
      <c r="E1" s="54" t="s">
        <v>234</v>
      </c>
      <c r="F1" s="54" t="s">
        <v>235</v>
      </c>
      <c r="G1" s="54" t="s">
        <v>55</v>
      </c>
    </row>
    <row r="2" spans="1:7" x14ac:dyDescent="0.3">
      <c r="A2" s="55" t="s">
        <v>236</v>
      </c>
      <c r="B2" s="55" t="s">
        <v>237</v>
      </c>
      <c r="C2" s="55">
        <v>1798588</v>
      </c>
      <c r="D2" s="55" t="s">
        <v>112</v>
      </c>
      <c r="E2" s="55" t="s">
        <v>128</v>
      </c>
      <c r="F2" s="55" t="s">
        <v>238</v>
      </c>
      <c r="G2" s="55" t="s">
        <v>129</v>
      </c>
    </row>
    <row r="3" spans="1:7" x14ac:dyDescent="0.3">
      <c r="A3" s="56" t="s">
        <v>239</v>
      </c>
      <c r="B3" s="56" t="s">
        <v>240</v>
      </c>
      <c r="C3" s="56">
        <v>453310</v>
      </c>
      <c r="D3" s="56" t="s">
        <v>90</v>
      </c>
      <c r="E3" s="56" t="s">
        <v>131</v>
      </c>
      <c r="F3" s="56" t="s">
        <v>238</v>
      </c>
      <c r="G3" s="56" t="s">
        <v>241</v>
      </c>
    </row>
    <row r="4" spans="1:7" x14ac:dyDescent="0.3">
      <c r="A4" s="55" t="s">
        <v>239</v>
      </c>
      <c r="B4" s="55" t="s">
        <v>242</v>
      </c>
      <c r="C4" s="55">
        <v>13089</v>
      </c>
      <c r="D4" s="55" t="s">
        <v>90</v>
      </c>
      <c r="E4" s="55" t="s">
        <v>131</v>
      </c>
      <c r="F4" s="55" t="s">
        <v>238</v>
      </c>
      <c r="G4" s="55" t="s">
        <v>134</v>
      </c>
    </row>
    <row r="5" spans="1:7" x14ac:dyDescent="0.3">
      <c r="A5" s="56" t="s">
        <v>239</v>
      </c>
      <c r="B5" s="56" t="s">
        <v>243</v>
      </c>
      <c r="C5" s="56">
        <v>2140</v>
      </c>
      <c r="D5" s="56" t="s">
        <v>90</v>
      </c>
      <c r="E5" s="56" t="s">
        <v>131</v>
      </c>
      <c r="F5" s="56" t="s">
        <v>238</v>
      </c>
      <c r="G5" s="56" t="s">
        <v>136</v>
      </c>
    </row>
    <row r="6" spans="1:7" x14ac:dyDescent="0.3">
      <c r="A6" s="55" t="s">
        <v>239</v>
      </c>
      <c r="B6" s="55" t="s">
        <v>244</v>
      </c>
      <c r="C6" s="55">
        <v>15229</v>
      </c>
      <c r="D6" s="55" t="s">
        <v>90</v>
      </c>
      <c r="E6" s="55" t="s">
        <v>131</v>
      </c>
      <c r="F6" s="55" t="s">
        <v>238</v>
      </c>
      <c r="G6" s="55" t="s">
        <v>245</v>
      </c>
    </row>
    <row r="7" spans="1:7" x14ac:dyDescent="0.3">
      <c r="A7" s="56" t="s">
        <v>239</v>
      </c>
      <c r="B7" s="56" t="s">
        <v>246</v>
      </c>
      <c r="C7" s="56">
        <v>18189</v>
      </c>
      <c r="D7" s="56" t="s">
        <v>90</v>
      </c>
      <c r="E7" s="56" t="s">
        <v>131</v>
      </c>
      <c r="F7" s="56" t="s">
        <v>238</v>
      </c>
      <c r="G7" s="56" t="s">
        <v>247</v>
      </c>
    </row>
    <row r="8" spans="1:7" x14ac:dyDescent="0.3">
      <c r="A8" s="55" t="s">
        <v>248</v>
      </c>
      <c r="B8" s="55" t="s">
        <v>249</v>
      </c>
      <c r="C8" s="55">
        <v>118853</v>
      </c>
      <c r="D8" s="55" t="s">
        <v>142</v>
      </c>
      <c r="E8" s="55" t="s">
        <v>143</v>
      </c>
      <c r="F8" s="55" t="s">
        <v>238</v>
      </c>
      <c r="G8" s="55" t="s">
        <v>250</v>
      </c>
    </row>
    <row r="9" spans="1:7" x14ac:dyDescent="0.3">
      <c r="A9" s="56" t="s">
        <v>248</v>
      </c>
      <c r="B9" s="56" t="s">
        <v>251</v>
      </c>
      <c r="C9" s="56">
        <v>78356</v>
      </c>
      <c r="D9" s="56" t="s">
        <v>142</v>
      </c>
      <c r="E9" s="56" t="s">
        <v>143</v>
      </c>
      <c r="F9" s="56" t="s">
        <v>238</v>
      </c>
      <c r="G9" s="56" t="s">
        <v>252</v>
      </c>
    </row>
    <row r="10" spans="1:7" x14ac:dyDescent="0.3">
      <c r="A10" s="55" t="s">
        <v>248</v>
      </c>
      <c r="B10" s="55" t="s">
        <v>253</v>
      </c>
      <c r="C10" s="55">
        <v>69988</v>
      </c>
      <c r="D10" s="55" t="s">
        <v>142</v>
      </c>
      <c r="E10" s="55" t="s">
        <v>143</v>
      </c>
      <c r="F10" s="55" t="s">
        <v>238</v>
      </c>
      <c r="G10" s="55" t="s">
        <v>254</v>
      </c>
    </row>
    <row r="11" spans="1:7" x14ac:dyDescent="0.3">
      <c r="A11" s="56" t="s">
        <v>248</v>
      </c>
      <c r="B11" s="56" t="s">
        <v>255</v>
      </c>
      <c r="C11" s="56">
        <v>60644</v>
      </c>
      <c r="D11" s="56" t="s">
        <v>142</v>
      </c>
      <c r="E11" s="56" t="s">
        <v>143</v>
      </c>
      <c r="F11" s="56" t="s">
        <v>238</v>
      </c>
      <c r="G11" s="56" t="s">
        <v>256</v>
      </c>
    </row>
    <row r="12" spans="1:7" ht="27.6" customHeight="1" x14ac:dyDescent="0.3">
      <c r="A12" s="55" t="s">
        <v>257</v>
      </c>
      <c r="B12" s="55" t="s">
        <v>258</v>
      </c>
      <c r="C12" s="55" t="s">
        <v>259</v>
      </c>
      <c r="D12" s="55" t="s">
        <v>189</v>
      </c>
      <c r="E12" s="55" t="s">
        <v>260</v>
      </c>
      <c r="F12" s="55" t="s">
        <v>261</v>
      </c>
      <c r="G12" s="55" t="s">
        <v>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4" customWidth="1"/>
    <col min="2" max="2" width="44" customWidth="1"/>
    <col min="3" max="3" width="80" customWidth="1"/>
  </cols>
  <sheetData>
    <row r="1" spans="1:3" x14ac:dyDescent="0.3">
      <c r="A1" s="46" t="s">
        <v>263</v>
      </c>
      <c r="B1" s="46" t="s">
        <v>264</v>
      </c>
      <c r="C1" s="46" t="s">
        <v>265</v>
      </c>
    </row>
    <row r="2" spans="1:3" ht="27.6" customHeight="1" x14ac:dyDescent="0.3">
      <c r="A2" s="47" t="s">
        <v>266</v>
      </c>
      <c r="B2" s="47" t="s">
        <v>267</v>
      </c>
      <c r="C2" s="47" t="s">
        <v>290</v>
      </c>
    </row>
    <row r="3" spans="1:3" x14ac:dyDescent="0.3">
      <c r="A3" s="47" t="s">
        <v>266</v>
      </c>
      <c r="B3" s="47" t="s">
        <v>268</v>
      </c>
      <c r="C3" s="47" t="s">
        <v>269</v>
      </c>
    </row>
    <row r="4" spans="1:3" ht="27.6" customHeight="1" x14ac:dyDescent="0.3">
      <c r="A4" s="47" t="s">
        <v>270</v>
      </c>
      <c r="B4" s="47" t="s">
        <v>271</v>
      </c>
      <c r="C4" s="47" t="s">
        <v>272</v>
      </c>
    </row>
    <row r="5" spans="1:3" ht="27.6" customHeight="1" x14ac:dyDescent="0.3">
      <c r="A5" s="47" t="s">
        <v>270</v>
      </c>
      <c r="B5" s="47" t="s">
        <v>273</v>
      </c>
      <c r="C5" s="47" t="s">
        <v>274</v>
      </c>
    </row>
    <row r="6" spans="1:3" x14ac:dyDescent="0.3">
      <c r="A6" s="47" t="s">
        <v>275</v>
      </c>
      <c r="B6" s="47" t="s">
        <v>276</v>
      </c>
      <c r="C6" s="47" t="s">
        <v>277</v>
      </c>
    </row>
    <row r="7" spans="1:3" x14ac:dyDescent="0.3">
      <c r="A7" s="47" t="s">
        <v>275</v>
      </c>
      <c r="B7" s="47" t="s">
        <v>278</v>
      </c>
      <c r="C7" s="47" t="s">
        <v>279</v>
      </c>
    </row>
    <row r="8" spans="1:3" ht="27.6" customHeight="1" x14ac:dyDescent="0.3">
      <c r="A8" s="47" t="s">
        <v>280</v>
      </c>
      <c r="B8" s="47" t="s">
        <v>281</v>
      </c>
      <c r="C8" s="47" t="s">
        <v>291</v>
      </c>
    </row>
    <row r="9" spans="1:3" ht="28.8" customHeight="1" x14ac:dyDescent="0.3">
      <c r="A9" s="10" t="s">
        <v>282</v>
      </c>
      <c r="B9" s="10" t="s">
        <v>283</v>
      </c>
      <c r="C9" s="10" t="s">
        <v>284</v>
      </c>
    </row>
    <row r="10" spans="1:3" x14ac:dyDescent="0.3">
      <c r="A10" s="10" t="s">
        <v>282</v>
      </c>
      <c r="B10" s="10" t="s">
        <v>285</v>
      </c>
      <c r="C10" s="10" t="s">
        <v>286</v>
      </c>
    </row>
    <row r="11" spans="1:3" ht="28.8" x14ac:dyDescent="0.3">
      <c r="A11" s="10" t="s">
        <v>287</v>
      </c>
      <c r="B11" s="10" t="s">
        <v>288</v>
      </c>
      <c r="C11" s="10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1.ภาพรวม</vt:lpstr>
      <vt:lpstr>2.สมมติฐาน</vt:lpstr>
      <vt:lpstr>3.S-curve การยอมรับ</vt:lpstr>
      <vt:lpstr>4.Demand สถานี</vt:lpstr>
      <vt:lpstr>5.Validation</vt:lpstr>
      <vt:lpstr>6.เทียบ NREL</vt:lpstr>
      <vt:lpstr>7.Data Verification</vt:lpstr>
      <vt:lpstr>8.Reviewer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 wanlop</cp:lastModifiedBy>
  <cp:revision>0</cp:revision>
  <dcterms:created xsi:type="dcterms:W3CDTF">2026-06-02T06:26:59Z</dcterms:created>
  <dcterms:modified xsi:type="dcterms:W3CDTF">2026-06-02T08:03:12Z</dcterms:modified>
  <dc:language>en-US</dc:language>
</cp:coreProperties>
</file>