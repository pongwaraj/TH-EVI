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Work\TH-EVI\"/>
    </mc:Choice>
  </mc:AlternateContent>
  <xr:revisionPtr revIDLastSave="0" documentId="13_ncr:1_{66E117FF-29E5-4F2C-A519-6CDD24FB6709}" xr6:coauthVersionLast="47" xr6:coauthVersionMax="47" xr10:uidLastSave="{00000000-0000-0000-0000-000000000000}"/>
  <bookViews>
    <workbookView xWindow="2064" yWindow="360" windowWidth="20304" windowHeight="11868" tabRatio="500" xr2:uid="{00000000-000D-0000-FFFF-FFFF00000000}"/>
  </bookViews>
  <sheets>
    <sheet name="1.ภาพรวม" sheetId="1" r:id="rId1"/>
    <sheet name="2.สมมติฐาน" sheetId="2" r:id="rId2"/>
    <sheet name="3.S-curve การยอมรับ" sheetId="3" r:id="rId3"/>
    <sheet name="4.Demand สถานี" sheetId="4" r:id="rId4"/>
    <sheet name="5.Validation" sheetId="5" r:id="rId5"/>
    <sheet name="6.เทียบ NREL" sheetId="6" r:id="rId6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4" i="5" l="1"/>
  <c r="C9" i="5"/>
  <c r="E8" i="5"/>
  <c r="E7" i="5"/>
  <c r="E6" i="5"/>
  <c r="C10" i="5" s="1"/>
  <c r="C11" i="4"/>
  <c r="C10" i="4"/>
  <c r="C9" i="4"/>
  <c r="D27" i="3"/>
  <c r="C27" i="3"/>
  <c r="C26" i="3"/>
  <c r="D26" i="3" s="1"/>
  <c r="D25" i="3"/>
  <c r="C25" i="3"/>
  <c r="C24" i="3"/>
  <c r="D24" i="3" s="1"/>
  <c r="C23" i="3"/>
  <c r="D23" i="3" s="1"/>
  <c r="C22" i="3"/>
  <c r="D22" i="3" s="1"/>
  <c r="E21" i="3"/>
  <c r="C21" i="3"/>
  <c r="D21" i="3" s="1"/>
  <c r="C20" i="3"/>
  <c r="D20" i="3" s="1"/>
  <c r="C19" i="3"/>
  <c r="D19" i="3" s="1"/>
  <c r="C18" i="3"/>
  <c r="D18" i="3" s="1"/>
  <c r="C17" i="3"/>
  <c r="D17" i="3" s="1"/>
  <c r="C16" i="3"/>
  <c r="D16" i="3" s="1"/>
  <c r="C15" i="3"/>
  <c r="D15" i="3" s="1"/>
  <c r="C14" i="3"/>
  <c r="D14" i="3" s="1"/>
  <c r="C13" i="3"/>
  <c r="C12" i="3"/>
  <c r="C11" i="3"/>
  <c r="C10" i="3"/>
  <c r="C9" i="3"/>
  <c r="C8" i="3"/>
  <c r="C7" i="3"/>
  <c r="D7" i="3" s="1"/>
  <c r="C6" i="3"/>
  <c r="C5" i="3"/>
  <c r="D13" i="3" l="1"/>
  <c r="E27" i="3"/>
  <c r="E26" i="3"/>
  <c r="D12" i="3"/>
  <c r="E25" i="3"/>
  <c r="D11" i="3"/>
  <c r="E24" i="3"/>
  <c r="D10" i="3"/>
  <c r="D9" i="3"/>
  <c r="E23" i="3"/>
  <c r="E22" i="3"/>
  <c r="D8" i="3"/>
  <c r="E20" i="3"/>
  <c r="D6" i="3"/>
  <c r="E19" i="3"/>
  <c r="D5" i="3"/>
  <c r="F5" i="3" s="1"/>
  <c r="G5" i="3" l="1"/>
  <c r="F6" i="3"/>
  <c r="G6" i="3" l="1"/>
  <c r="F7" i="3"/>
  <c r="G7" i="3" l="1"/>
  <c r="F8" i="3"/>
  <c r="G8" i="3" l="1"/>
  <c r="F9" i="3"/>
  <c r="G9" i="3" l="1"/>
  <c r="F10" i="3"/>
  <c r="G10" i="3" l="1"/>
  <c r="F11" i="3"/>
  <c r="G11" i="3" l="1"/>
  <c r="F12" i="3"/>
  <c r="G12" i="3" l="1"/>
  <c r="F13" i="3"/>
  <c r="G13" i="3" l="1"/>
  <c r="F14" i="3"/>
  <c r="G14" i="3" l="1"/>
  <c r="F15" i="3"/>
  <c r="G15" i="3" l="1"/>
  <c r="F16" i="3"/>
  <c r="G16" i="3" l="1"/>
  <c r="F17" i="3"/>
  <c r="G17" i="3" l="1"/>
  <c r="C7" i="4"/>
  <c r="C8" i="4" s="1"/>
  <c r="C12" i="4" s="1"/>
  <c r="C13" i="4" s="1"/>
  <c r="F18" i="3"/>
  <c r="C14" i="4" l="1"/>
  <c r="C15" i="4"/>
  <c r="G18" i="3"/>
  <c r="F19" i="3"/>
  <c r="G19" i="3" l="1"/>
  <c r="F20" i="3"/>
  <c r="G20" i="3" l="1"/>
  <c r="F21" i="3"/>
  <c r="F22" i="3" l="1"/>
  <c r="G21" i="3"/>
  <c r="G22" i="3" l="1"/>
  <c r="F23" i="3"/>
  <c r="G23" i="3" l="1"/>
  <c r="F24" i="3"/>
  <c r="G24" i="3" l="1"/>
  <c r="F25" i="3"/>
  <c r="G25" i="3" l="1"/>
  <c r="F26" i="3"/>
  <c r="G26" i="3" l="1"/>
  <c r="F27" i="3"/>
  <c r="G27" i="3" s="1"/>
</calcChain>
</file>

<file path=xl/sharedStrings.xml><?xml version="1.0" encoding="utf-8"?>
<sst xmlns="http://schemas.openxmlformats.org/spreadsheetml/2006/main" count="219" uniqueCount="207">
  <si>
    <t>TH-EVI : โมเดลประมาณการความต้องการสถานีชาร์จ EV ของไทย</t>
  </si>
  <si>
    <t>Thailand EV Infrastructure Projection Model  •  แรงบันดาลใจจาก NREL EVI-Pro  •  นำร่องจังหวัดเชียงใหม่</t>
  </si>
  <si>
    <t>โมเดลนี้คืออะไร</t>
  </si>
  <si>
    <t>โครงสร้าง 4 ชั้น (Layer) ของโมเดล</t>
  </si>
  <si>
    <t>ชั้น</t>
  </si>
  <si>
    <t>หน้าที่</t>
  </si>
  <si>
    <t>อินพุตหลัก</t>
  </si>
  <si>
    <t>ผลลัพธ์</t>
  </si>
  <si>
    <t>1. Adoption</t>
  </si>
  <si>
    <t>พยากรณ์สัดส่วน BEV ในรถใหม่ด้วย S-curve (logistic)</t>
  </si>
  <si>
    <t>ข้อมูล FTI ปี 2566-2568</t>
  </si>
  <si>
    <t>% BEV รายปี + EV สะสมในจังหวัด</t>
  </si>
  <si>
    <t>2. Demand</t>
  </si>
  <si>
    <t>แปลงปริมาณจราจร/ประชากร EV เป็นครั้งชาร์จ/วัน</t>
  </si>
  <si>
    <t>AADT, ประชากร EV, prob.ชาร์จ</t>
  </si>
  <si>
    <t>3. Site</t>
  </si>
  <si>
    <t>คะแนนทำเล, คู่แข่งรอบข้าง</t>
  </si>
  <si>
    <t>ส่วนแบ่งที่จุดจับได้จริง</t>
  </si>
  <si>
    <t>4. Temporal</t>
  </si>
  <si>
    <t>กระจายรายชั่วโมง + คิวด้วย Erlang-C</t>
  </si>
  <si>
    <t>รูปแบบการมาแต่ละชั่วโมง</t>
  </si>
  <si>
    <t>จำนวนหัวชาร์จที่ต้องมี</t>
  </si>
  <si>
    <t>สูตรแกนกลาง</t>
  </si>
  <si>
    <t>ความน่าเชื่อถือโดยสรุป (รายละเอียดในชีต '5.Validation')</t>
  </si>
  <si>
    <t>ตัวชี้วัด</t>
  </si>
  <si>
    <t>ค่า</t>
  </si>
  <si>
    <t>หมายเหตุ</t>
  </si>
  <si>
    <t>Adoption MAPE</t>
  </si>
  <si>
    <t>8.5%</t>
  </si>
  <si>
    <t>เทียบ S-curve กับยอด BEV จริงของ FTI ปี 2566-2568</t>
  </si>
  <si>
    <t>Adoption RMSE</t>
  </si>
  <si>
    <t>1.49 pp</t>
  </si>
  <si>
    <t>คลาดเคลื่อนเฉลี่ยระดับจุดเปอร์เซ็นต์</t>
  </si>
  <si>
    <t>Station calibration</t>
  </si>
  <si>
    <t>0.657</t>
  </si>
  <si>
    <t>ปรับด้วยข้อมูลจริง 1 สถานี (cultural center hub)</t>
  </si>
  <si>
    <t>สถานะ validation สถานี</t>
  </si>
  <si>
    <t>Just-identified</t>
  </si>
  <si>
    <t>ต้องเก็บอีก ≥4 สถานีจึงประเมิน out-of-sample ได้</t>
  </si>
  <si>
    <t>ช่องพื้นหลังเหลือง/ครีม = อินพุตที่ปรับได้ (เลขสีน้ำเงิน) • ชีตอื่นอ้างอิงค่ามาจากที่นี่ทั้งหมด</t>
  </si>
  <si>
    <t>พารามิเตอร์</t>
  </si>
  <si>
    <t>หน่วย</t>
  </si>
  <si>
    <t>แหล่งที่มา / เหตุผล</t>
  </si>
  <si>
    <t>A. พารามิเตอร์ S-curve การยอมรับ EV (logistic)</t>
  </si>
  <si>
    <t>เพดานสูงสุด (carrying capacity)</t>
  </si>
  <si>
    <t>สัดส่วน</t>
  </si>
  <si>
    <t>สมมติ BEV ถึง 85% ของรถใหม่เมื่ออิ่มตัว (อิง 30@30 + แนวโน้มโลก)</t>
  </si>
  <si>
    <t>อัตราการเติบโต (growth rate)</t>
  </si>
  <si>
    <t>ต่อปี</t>
  </si>
  <si>
    <t>ปรับด้วย scipy least-squares กับข้อมูล FTI รายปี 2566-2568</t>
  </si>
  <si>
    <t>ปีกึ่งกลาง (midpoint 50%)</t>
  </si>
  <si>
    <t>ค.ศ.</t>
  </si>
  <si>
    <t>ปีที่ถึง 50% ของเพดาน — สอดคล้องเป้า 30@30 (2030≈35%)</t>
  </si>
  <si>
    <t>ตัวปรับระดับจังหวัด (เชียงใหม่)</t>
  </si>
  <si>
    <t>x</t>
  </si>
  <si>
    <t>ใช้ฐาน ร.1 ระดับชาติโดยตรง (แก้ denominator ผสมเดิม 0.40)</t>
  </si>
  <si>
    <t>B. พารามิเตอร์กองรถจังหวัดเชียงใหม่</t>
  </si>
  <si>
    <t>รถใหม่ ร.1 ต่อปี (เชียงใหม่)</t>
  </si>
  <si>
    <t>คัน/ปี</t>
  </si>
  <si>
    <t>DLT เม.ย.2569 อัตรารายเดือน × 12 (ประมาณ)</t>
  </si>
  <si>
    <t>คัน</t>
  </si>
  <si>
    <t>DLT ทะเบียนสะสมโดยประมาณ</t>
  </si>
  <si>
    <t>อายุปลดระวางรถ (scrappage)</t>
  </si>
  <si>
    <t>ปี</t>
  </si>
  <si>
    <t>ปลดระวางเชิงเส้นหลังใช้งาน 14 ปี</t>
  </si>
  <si>
    <t>C. ความน่าจะเป็นที่จะชาร์จ ตามประเภททำเล</t>
  </si>
  <si>
    <t>ทางหลวง (highway)</t>
  </si>
  <si>
    <t>รถวิ่งผ่าน ส่วนน้อยแวะชาร์จด่วน</t>
  </si>
  <si>
    <t>ใจกลางเมือง (city center)</t>
  </si>
  <si>
    <t>ความหนาแน่นสูง แวะปานกลาง</t>
  </si>
  <si>
    <t>จุดหมายปลายทาง (destination)</t>
  </si>
  <si>
    <t>ห้าง/สนามบิน จอดนานโอกาสชาร์จสูง</t>
  </si>
  <si>
    <t>ชานเมือง (suburban)</t>
  </si>
  <si>
    <t>สมมติฐานนำร่อง</t>
  </si>
  <si>
    <t>D. สถานี ฉากทัศน์ Base</t>
  </si>
  <si>
    <t>สัดส่วนพึ่งชาร์จสาธารณะ</t>
  </si>
  <si>
    <t>ผู้ใช้ EV ที่ไม่มีที่ชาร์จบ้านเพียงพอ</t>
  </si>
  <si>
    <t>ครั้งชาร์จสาธารณะ/สัปดาห์</t>
  </si>
  <si>
    <t>ครั้ง</t>
  </si>
  <si>
    <t>พฤติกรรมผู้อยู่อาศัย</t>
  </si>
  <si>
    <t>capture ผู้อยู่อาศัย</t>
  </si>
  <si>
    <t>ส่วนแบ่งที่สถานีนี้จับได้</t>
  </si>
  <si>
    <t>คน</t>
  </si>
  <si>
    <t>ประมาณการ Grab/Bolt เชียงใหม่</t>
  </si>
  <si>
    <t>สัดส่วน EV ในเรียกรถ</t>
  </si>
  <si>
    <t>ฐานปี 2026</t>
  </si>
  <si>
    <t>นักท่องเที่ยวมาถึง/วัน</t>
  </si>
  <si>
    <t>คน/วัน</t>
  </si>
  <si>
    <t>ประมาณการ ททท. เชียงใหม่</t>
  </si>
  <si>
    <t>calibration factor</t>
  </si>
  <si>
    <t>ปรับสเกลเดียวให้ตรงสถานีจริง (cultural hub 130 ครั้ง/วัน)</t>
  </si>
  <si>
    <t>kWh เฉลี่ย/ครั้ง (สถานี)</t>
  </si>
  <si>
    <t>kWh</t>
  </si>
  <si>
    <t>ฉากทัศน์ base</t>
  </si>
  <si>
    <t>ครั้ง/หัวชาร์จ/วัน (ความจุ)</t>
  </si>
  <si>
    <t>เพดานความจุต่อหัว</t>
  </si>
  <si>
    <t>ชั้นที่ 1 : S-curve การยอมรับ EV (logistic)</t>
  </si>
  <si>
    <t>สัดส่วน BEV รถใหม่</t>
  </si>
  <si>
    <t>BEV ใหม่/ปี (คัน)</t>
  </si>
  <si>
    <t>ปลดระวาง/ปี (คัน)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</si>
  <si>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</si>
  <si>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</si>
  <si>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</si>
  <si>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</si>
  <si>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</si>
  <si>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</si>
  <si>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</si>
  <si>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</si>
  <si>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</si>
  <si>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</si>
  <si>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</si>
  <si>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</si>
  <si>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</si>
  <si>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</si>
  <si>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</si>
  <si>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</si>
  <si>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</si>
  <si>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</si>
  <si>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</si>
  <si>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</si>
  <si>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</si>
  <si>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</si>
  <si>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</si>
  <si>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หมายเหตุ: คอลัมน์ C คือสูตร logistic สด — แก้ค่าใน '2.สมมติฐาน' แล้วทั้งตารางอัปเดตทันที. แถวเขียว = ปีอ้างอิง (2025 จุด validation, 2030 เป้า 30@30). EV สะสม = บวกพอก BEV ใหม่ ลบปลดระวาง 14 ปี</t>
  </si>
  <si>
    <t>ชั้นที่ 2 : ความต้องการสถานี (4 องค์ประกอบ)</t>
  </si>
  <si>
    <t>ปีที่วิเคราะห์ →</t>
  </si>
  <si>
    <t>องค์ประกอบ</t>
  </si>
  <si>
    <t>ครั้ง/วัน</t>
  </si>
  <si>
    <t>คำอธิบายสูตร</t>
  </si>
  <si>
    <t>EV สะสมในเชียงใหม่ (ปีที่เลือก)</t>
  </si>
  <si>
    <t>ดึงจากตาราง S-curve ตามปี</t>
  </si>
  <si>
    <t>1. ผู้อยู่อาศัย (resident)</t>
  </si>
  <si>
    <t>EV สะสม × พึ่งสาธารณะ × ครั้ง/สัปดาห์ ÷7 × capture</t>
  </si>
  <si>
    <t>คนขับ × %EV × ครั้ง/วัน × capture(0.30)</t>
  </si>
  <si>
    <t>3. นักท่องเที่ยว (tourist)</t>
  </si>
  <si>
    <t>มาถึง × เช่า10% × 4วัน × EV5% × 0.5/วัน × สาธารณะ30% × capture25%</t>
  </si>
  <si>
    <t>4. ขนส่ง (transit)</t>
  </si>
  <si>
    <t>EV ขนส่ง 20 × capture 0.25</t>
  </si>
  <si>
    <t>รวมดิบ (ก่อน calibration)</t>
  </si>
  <si>
    <t>ครั้งชาร์จ/วัน (หลัง calibration ×0.657)</t>
  </si>
  <si>
    <t>พลังงาน/วัน (kWh)</t>
  </si>
  <si>
    <t>อัตราใช้งาน (12 หัว × 22 ครั้ง)</t>
  </si>
  <si>
    <t>เปลี่ยนปีในช่อง C4 เพื่อดูความต้องการปีต่างๆ. ปี 2026 ≈130 ครั้ง/วัน (ตรงสถานีจริง), ปี 2030 ≈202 ครั้ง/วัน. calibration factor 0.657 คือปรับสเกลครั้งเดียวให้ตรงข้อมูลจริง โดยพารามิเตอร์อื่นยังคงความหมายเชิงกายภาพ</t>
  </si>
  <si>
    <t>ชั้นความน่าเชื่อถือ : การทวนสอบกับข้อมูลจริง</t>
  </si>
  <si>
    <t>เทียบโมเดลกับข้อมูลจริง พร้อมตัวชี้วัด MAPE / RMSE และสถานะ cross-validation อย่างตรงไปตรงมา</t>
  </si>
  <si>
    <t>A. ชั้น Adoption — S-curve เทียบยอด BEV จริง (FTI/Autolife)</t>
  </si>
  <si>
    <t>คาดการณ์ %</t>
  </si>
  <si>
    <t>จริง %</t>
  </si>
  <si>
    <t>คลาดเคลื่อน (pp)</t>
  </si>
  <si>
    <t>แหล่งอ้างอิง</t>
  </si>
  <si>
    <t>2566 (2023)</t>
  </si>
  <si>
    <t>76,500 คัน BEV</t>
  </si>
  <si>
    <t>2567 (2024)</t>
  </si>
  <si>
    <t>70,137 คัน (เปลี่ยนเงินอุดหนุน)</t>
  </si>
  <si>
    <t>2568 (2025)</t>
  </si>
  <si>
    <t>120,301 คัน (FTI เต็มปี)</t>
  </si>
  <si>
    <t>MAPE (เฉลี่ย % คลาดเคลื่อน)</t>
  </si>
  <si>
    <t>RMSE (pp)</t>
  </si>
  <si>
    <t>B. ชั้น Station — เทียบสถานีจริง</t>
  </si>
  <si>
    <t>สถานี</t>
  </si>
  <si>
    <t>จริง (ครั้ง/วัน)</t>
  </si>
  <si>
    <t>โมเดล (ครั้ง/วัน)</t>
  </si>
  <si>
    <t>คลาดเคลื่อน</t>
  </si>
  <si>
    <t>แหล่ง</t>
  </si>
  <si>
    <t>CM Cultural Center Hub</t>
  </si>
  <si>
    <t>รายงานผู้ประกอบการ 2026</t>
  </si>
  <si>
    <t>ความซื่อสัตย์ของการทวนสอบ: ขณะนี้มีสถานีจริงยืนยัน 1 จุด กับพารามิเตอร์อิสระ 1 ตัว (calibration factor) จึงเป็น 'just-identified' — ยังประเมิน out-of-sample error ไม่ได้. แผนเก็บเพิ่ม ≥4 สถานี: BYD CM, PTT Central Airport, EGAT EleXA, PEA Volta, Centara Hotel, MG Airport เพื่อทำ Leave-One-Out CV ให้สมบูรณ์</t>
  </si>
  <si>
    <t>TH-EVI เทียบกับ NREL EVI-Pro</t>
  </si>
  <si>
    <t>หลักการตรงกัน แต่ปรับชั้นข้อมูลและสมมติฐานให้เข้ากับบริบทไทย</t>
  </si>
  <si>
    <t>หัวข้อ</t>
  </si>
  <si>
    <t>NREL EVI-Pro</t>
  </si>
  <si>
    <t>TH-EVI (ของเรา)</t>
  </si>
  <si>
    <t>แนวคิดหลัก</t>
  </si>
  <si>
    <t>ข้อมูลกองรถ</t>
  </si>
  <si>
    <t>ข้อมูลสำรวจการเดินทางสหรัฐ (NHTS), การจดทะเบียนรัฐ</t>
  </si>
  <si>
    <t>FTI/Autolife (ยอด BEV จริง), DLT (ทะเบียนจังหวัด)</t>
  </si>
  <si>
    <t>พยากรณ์การยอมรับ</t>
  </si>
  <si>
    <t>ฉากทัศน์ภายนอก</t>
  </si>
  <si>
    <t>S-curve logistic calibrate กับข้อมูล FTI รายปี (MAPE 8.5%)</t>
  </si>
  <si>
    <t>ปริมาณจราจร</t>
  </si>
  <si>
    <t>แบบจำลองการเดินทางระดับเขต</t>
  </si>
  <si>
    <t>AADT จริงจากกรมทางหลวง (DOH) รายเส้นทาง</t>
  </si>
  <si>
    <t>การจัดคิว/หัวชาร์จ</t>
  </si>
  <si>
    <t>จำลองพฤติกรรมการเสียบชาร์จ</t>
  </si>
  <si>
    <t>Erlang-C คิดระดับบริการ (P(wait)≤10%, รอ&lt;10 นาที)</t>
  </si>
  <si>
    <t>การปรับเทียบ</t>
  </si>
  <si>
    <t>calibrate กับข้อมูลใช้งานจริงขนาดใหญ่</t>
  </si>
  <si>
    <t>calibration factor เดียว + แผนขยายเป็น LOO CV</t>
  </si>
  <si>
    <t>ความโปร่งใส</t>
  </si>
  <si>
    <t>เอกสารวิชาการ + เครื่องมือ</t>
  </si>
  <si>
    <t>ทุกสมมติฐานเปิดในชีตเดียว แก้แล้วทั้งโมเดลอัปเดต</t>
  </si>
  <si>
    <t>TH-EVI ประเมิน "ความต้องการชาร์จ EV ต่อวัน" ของแต่ละพื้นที่ ต่อยอดแนวคิด NREL EVI-Pro แต่ปรับสมมติฐานและข้อมูลให้เป็นบริบทไทย ทุกตัวเลขมาจากแหล่งเปิดที่ตรวจสอบได้ (FTI, DLT, กรมทางหลวง, OSM) และทุกสมมติฐานเปิดเผยในชีต '2.สมมติฐาน'</t>
  </si>
  <si>
    <t>จำนวนครั้งที่ชาร์จ/วัน, kWh/วัน</t>
  </si>
  <si>
    <t>ความต้องการสถานี:  จำนวนครั้งที่ชาร์จ/วัน = (ผู้อยู่อาศัย+เรียกรถ+นักท่องเที่ยว+ขนส่ง) × calibration factor</t>
  </si>
  <si>
    <t>สมมติฐานทั้งหมด</t>
  </si>
  <si>
    <t>ขนาดกลุ่มรถยนต์นั่งรวม</t>
  </si>
  <si>
    <t>คนขับแพลตฟอร์มเรียกรถในพื้นที่</t>
  </si>
  <si>
    <t>สูตร: สัดส่วน BEV รถใหม่ = เพดาน ÷ (1+EXP(-growth×(ปี-midpoint))) × ตัวปรับจังหวัด — อ้างอิงค่าจากชีตสมมติฐาน</t>
  </si>
  <si>
    <t>EV สะสมในกลุ่มรถ</t>
  </si>
  <si>
    <t>สัดส่วน EV ในกลุ่มรถ</t>
  </si>
  <si>
    <t>ตัวอย่างสถานี Super Hub 12 หัวชาร์จ — สูตรอ้างอิงสมมติฐานและ EV สะสมจากชีต S-curve</t>
  </si>
  <si>
    <t>2. แอพเรียกรถ (ride-hail)</t>
  </si>
  <si>
    <t>ประมาณความต้องการโครงสร้างชาร์จจากพฤติกรรมการเดินทางของกลุ่มรถ EV</t>
  </si>
  <si>
    <t>ใช้แนวคิดเดียวกัน: กลุ่มรถ EV → ความต้องการชาร์จเชิงพื้นที่/เวลา</t>
  </si>
  <si>
    <t>สรุป: TH-EVI ไม่ได้คัดลอก NREL แต่ยืมโครงเชิงวิธีการที่ได้รับการยอมรับ แล้วแทนอินพุตทุกชั้นด้วยข้อมูลไทยที่ตรวจสอบได้ จุดแข็งคือความโปร่งใส จุดที่ต้องพัฒนาต่อคือเพิ่มข้อมูลสถานีจริงเพื่อยืนยันความแม่นยำระดับสถานี</t>
  </si>
  <si>
    <t>ปรับด้วยทำเล การมองเห็น สถานีคู่แข่ง</t>
  </si>
  <si>
    <t>ความต้องการพื้นที่:  EV visits/วัน = AADT × สัดส่วน EV ในกลุ่มรถ(ปี) × ความน่าจะเป็นที่รถจะมาชาร์จ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</si>
</sst>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00%"/>
    <numFmt numFmtId="166" formatCode="\+0.0;\-0.0"/>
  </numFmts>
  <fonts count="25" x14ac:knownFonts="1">
    <font>
      <sz val="11"/>
      <color theme="1"/>
      <name val="Calibri"/>
      <family val="2"/>
      <charset val="1"/>
    </font>
    <font>
      <b/>
      <sz val="16"/>
      <color rgb="FF1F3864"/>
      <name val="Tahoma"/>
      <charset val="1"/>
    </font>
    <font>
      <i/>
      <sz val="10"/>
      <color rgb="FF595959"/>
      <name val="Tahoma"/>
      <charset val="1"/>
    </font>
    <font>
      <b/>
      <sz val="12"/>
      <color rgb="FF1F3864"/>
      <name val="Tahoma"/>
      <charset val="1"/>
    </font>
    <font>
      <sz val="10"/>
      <name val="Tahoma"/>
      <charset val="1"/>
    </font>
    <font>
      <b/>
      <sz val="11"/>
      <color rgb="FFFFFFFF"/>
      <name val="Tahoma"/>
      <charset val="1"/>
    </font>
    <font>
      <b/>
      <sz val="9.5"/>
      <color rgb="FF1F3864"/>
      <name val="Tahoma"/>
      <charset val="1"/>
    </font>
    <font>
      <sz val="9.5"/>
      <color rgb="FF000000"/>
      <name val="Tahoma"/>
      <charset val="1"/>
    </font>
    <font>
      <b/>
      <sz val="10"/>
      <color rgb="FFC00000"/>
      <name val="Tahoma"/>
      <charset val="1"/>
    </font>
    <font>
      <b/>
      <sz val="10"/>
      <color rgb="FF008000"/>
      <name val="Tahoma"/>
      <charset val="1"/>
    </font>
    <font>
      <sz val="10"/>
      <color rgb="FF000000"/>
      <name val="Tahoma"/>
      <charset val="1"/>
    </font>
    <font>
      <b/>
      <sz val="10"/>
      <color rgb="FF0000FF"/>
      <name val="Tahoma"/>
      <charset val="1"/>
    </font>
    <font>
      <sz val="9"/>
      <color rgb="FF595959"/>
      <name val="Tahoma"/>
      <charset val="1"/>
    </font>
    <font>
      <sz val="9"/>
      <color rgb="FF404040"/>
      <name val="Tahoma"/>
      <charset val="1"/>
    </font>
    <font>
      <b/>
      <sz val="10"/>
      <name val="Tahoma"/>
      <charset val="1"/>
    </font>
    <font>
      <i/>
      <sz val="9"/>
      <color rgb="FF595959"/>
      <name val="Tahoma"/>
      <charset val="1"/>
    </font>
    <font>
      <b/>
      <sz val="11"/>
      <color rgb="FF1F3864"/>
      <name val="Tahoma"/>
      <charset val="1"/>
    </font>
    <font>
      <b/>
      <sz val="12"/>
      <color rgb="FF0000FF"/>
      <name val="Tahoma"/>
      <charset val="1"/>
    </font>
    <font>
      <b/>
      <sz val="10"/>
      <color rgb="FF000000"/>
      <name val="Tahoma"/>
      <charset val="1"/>
    </font>
    <font>
      <sz val="8.5"/>
      <color rgb="FF595959"/>
      <name val="Tahoma"/>
      <charset val="1"/>
    </font>
    <font>
      <b/>
      <sz val="11"/>
      <color rgb="FFC00000"/>
      <name val="Tahoma"/>
      <charset val="1"/>
    </font>
    <font>
      <sz val="10"/>
      <color rgb="FF0000FF"/>
      <name val="Tahoma"/>
      <charset val="1"/>
    </font>
    <font>
      <b/>
      <sz val="11"/>
      <color rgb="FF008000"/>
      <name val="Tahoma"/>
      <charset val="1"/>
    </font>
    <font>
      <sz val="9.5"/>
      <color rgb="FFC00000"/>
      <name val="Tahoma"/>
      <charset val="1"/>
    </font>
    <font>
      <b/>
      <sz val="10"/>
      <color rgb="FF1F3864"/>
      <name val="Tahoma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DDEBF7"/>
        <bgColor rgb="FFE2EFDA"/>
      </patternFill>
    </fill>
    <fill>
      <patternFill patternType="solid">
        <fgColor rgb="FF2E5496"/>
        <bgColor rgb="FF1F3864"/>
      </patternFill>
    </fill>
    <fill>
      <patternFill patternType="solid">
        <fgColor rgb="FFFFF9E6"/>
        <bgColor rgb="FFFFFFFF"/>
      </patternFill>
    </fill>
    <fill>
      <patternFill patternType="solid">
        <fgColor rgb="FFE2EFDA"/>
        <bgColor rgb="FFDDEBF7"/>
      </patternFill>
    </fill>
    <fill>
      <patternFill patternType="solid">
        <fgColor rgb="FFFFF2CC"/>
        <bgColor rgb="FFFFF9E6"/>
      </patternFill>
    </fill>
    <fill>
      <patternFill patternType="solid">
        <fgColor rgb="FFF2F2F2"/>
        <bgColor rgb="FFFFF9E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24" fillId="3" borderId="0" xfId="0" applyFont="1" applyFill="1" applyAlignment="1">
      <alignment wrapText="1"/>
    </xf>
    <xf numFmtId="0" fontId="23" fillId="7" borderId="0" xfId="0" applyFont="1" applyFill="1" applyAlignment="1">
      <alignment vertical="top" wrapText="1"/>
    </xf>
    <xf numFmtId="0" fontId="19" fillId="0" borderId="0" xfId="0" applyFont="1" applyAlignment="1">
      <alignment wrapText="1"/>
    </xf>
    <xf numFmtId="0" fontId="12" fillId="0" borderId="0" xfId="0" applyFont="1"/>
    <xf numFmtId="0" fontId="15" fillId="0" borderId="0" xfId="0" applyFont="1" applyAlignment="1">
      <alignment wrapText="1"/>
    </xf>
    <xf numFmtId="0" fontId="5" fillId="4" borderId="0" xfId="0" applyFont="1" applyFill="1" applyAlignment="1">
      <alignment vertical="center"/>
    </xf>
    <xf numFmtId="0" fontId="7" fillId="0" borderId="1" xfId="0" applyFont="1" applyBorder="1" applyAlignment="1">
      <alignment vertical="center" wrapText="1"/>
    </xf>
    <xf numFmtId="0" fontId="8" fillId="3" borderId="0" xfId="0" applyFont="1" applyFill="1" applyAlignment="1">
      <alignment wrapText="1"/>
    </xf>
    <xf numFmtId="0" fontId="4" fillId="0" borderId="0" xfId="0" applyFont="1" applyAlignment="1">
      <alignment vertical="top" wrapText="1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2" borderId="0" xfId="0" applyFont="1" applyFill="1" applyAlignment="1">
      <alignment horizontal="left" vertical="center" wrapText="1"/>
    </xf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10" fillId="0" borderId="1" xfId="0" applyFont="1" applyBorder="1"/>
    <xf numFmtId="164" fontId="11" fillId="5" borderId="1" xfId="0" applyNumberFormat="1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3" fillId="0" borderId="1" xfId="0" applyFont="1" applyBorder="1" applyAlignment="1">
      <alignment vertical="top" wrapText="1"/>
    </xf>
    <xf numFmtId="0" fontId="11" fillId="5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center"/>
    </xf>
    <xf numFmtId="10" fontId="4" fillId="0" borderId="1" xfId="0" applyNumberFormat="1" applyFont="1" applyBorder="1" applyAlignment="1">
      <alignment horizontal="center"/>
    </xf>
    <xf numFmtId="3" fontId="4" fillId="0" borderId="1" xfId="0" applyNumberFormat="1" applyFont="1" applyBorder="1" applyAlignment="1">
      <alignment horizontal="center"/>
    </xf>
    <xf numFmtId="165" fontId="4" fillId="0" borderId="1" xfId="0" applyNumberFormat="1" applyFont="1" applyBorder="1" applyAlignment="1">
      <alignment horizontal="center"/>
    </xf>
    <xf numFmtId="0" fontId="14" fillId="6" borderId="1" xfId="0" applyFont="1" applyFill="1" applyBorder="1" applyAlignment="1">
      <alignment horizontal="center"/>
    </xf>
    <xf numFmtId="10" fontId="4" fillId="6" borderId="1" xfId="0" applyNumberFormat="1" applyFont="1" applyFill="1" applyBorder="1" applyAlignment="1">
      <alignment horizontal="center"/>
    </xf>
    <xf numFmtId="3" fontId="4" fillId="6" borderId="1" xfId="0" applyNumberFormat="1" applyFont="1" applyFill="1" applyBorder="1" applyAlignment="1">
      <alignment horizontal="center"/>
    </xf>
    <xf numFmtId="165" fontId="4" fillId="6" borderId="1" xfId="0" applyNumberFormat="1" applyFont="1" applyFill="1" applyBorder="1" applyAlignment="1">
      <alignment horizontal="center"/>
    </xf>
    <xf numFmtId="0" fontId="16" fillId="0" borderId="0" xfId="0" applyFont="1"/>
    <xf numFmtId="0" fontId="17" fillId="7" borderId="1" xfId="0" applyFont="1" applyFill="1" applyBorder="1" applyAlignment="1">
      <alignment horizontal="center"/>
    </xf>
    <xf numFmtId="0" fontId="18" fillId="0" borderId="1" xfId="0" applyFont="1" applyBorder="1"/>
    <xf numFmtId="3" fontId="9" fillId="0" borderId="1" xfId="0" applyNumberFormat="1" applyFont="1" applyBorder="1"/>
    <xf numFmtId="3" fontId="4" fillId="0" borderId="1" xfId="0" applyNumberFormat="1" applyFont="1" applyBorder="1"/>
    <xf numFmtId="0" fontId="18" fillId="3" borderId="1" xfId="0" applyFont="1" applyFill="1" applyBorder="1"/>
    <xf numFmtId="3" fontId="14" fillId="3" borderId="1" xfId="0" applyNumberFormat="1" applyFont="1" applyFill="1" applyBorder="1"/>
    <xf numFmtId="0" fontId="8" fillId="7" borderId="1" xfId="0" applyFont="1" applyFill="1" applyBorder="1"/>
    <xf numFmtId="3" fontId="20" fillId="7" borderId="1" xfId="0" applyNumberFormat="1" applyFont="1" applyFill="1" applyBorder="1"/>
    <xf numFmtId="3" fontId="14" fillId="0" borderId="1" xfId="0" applyNumberFormat="1" applyFont="1" applyBorder="1"/>
    <xf numFmtId="164" fontId="14" fillId="0" borderId="1" xfId="0" applyNumberFormat="1" applyFont="1" applyBorder="1"/>
    <xf numFmtId="0" fontId="18" fillId="0" borderId="1" xfId="0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21" fillId="0" borderId="1" xfId="0" applyNumberFormat="1" applyFon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0" fontId="13" fillId="0" borderId="1" xfId="0" applyFont="1" applyBorder="1" applyAlignment="1">
      <alignment wrapText="1"/>
    </xf>
    <xf numFmtId="0" fontId="18" fillId="6" borderId="1" xfId="0" applyFont="1" applyFill="1" applyBorder="1"/>
    <xf numFmtId="164" fontId="22" fillId="6" borderId="1" xfId="0" applyNumberFormat="1" applyFont="1" applyFill="1" applyBorder="1"/>
    <xf numFmtId="2" fontId="22" fillId="6" borderId="1" xfId="0" applyNumberFormat="1" applyFont="1" applyFill="1" applyBorder="1"/>
    <xf numFmtId="0" fontId="2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3" fillId="0" borderId="1" xfId="0" applyFont="1" applyBorder="1"/>
    <xf numFmtId="0" fontId="6" fillId="8" borderId="1" xfId="0" applyFont="1" applyFill="1" applyBorder="1" applyAlignment="1">
      <alignment vertical="top" wrapText="1"/>
    </xf>
    <xf numFmtId="0" fontId="7" fillId="6" borderId="1" xfId="0" applyFont="1" applyFill="1" applyBorder="1" applyAlignment="1">
      <alignment vertical="top" wrapText="1"/>
    </xf>
  </cellXfs>
  <cellStyles count="1">
    <cellStyle name="ปกติ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9E6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2C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showGridLines="0" tabSelected="1" zoomScale="110" zoomScaleNormal="110" workbookViewId="0">
      <selection activeCell="I13" sqref="I13"/>
    </sheetView>
  </sheetViews>
  <sheetFormatPr defaultColWidth="8.6640625" defaultRowHeight="14.4" x14ac:dyDescent="0.3"/>
  <cols>
    <col min="1" max="1" width="3" customWidth="1"/>
    <col min="2" max="2" width="26" customWidth="1"/>
    <col min="3" max="5" width="22" customWidth="1"/>
    <col min="6" max="6" width="30" customWidth="1"/>
  </cols>
  <sheetData>
    <row r="1" spans="1:6" ht="20.399999999999999" x14ac:dyDescent="0.35">
      <c r="A1" s="10" t="s">
        <v>0</v>
      </c>
    </row>
    <row r="2" spans="1:6" x14ac:dyDescent="0.3">
      <c r="A2" s="11" t="s">
        <v>1</v>
      </c>
    </row>
    <row r="4" spans="1:6" ht="15.6" x14ac:dyDescent="0.3">
      <c r="B4" s="12" t="s">
        <v>2</v>
      </c>
    </row>
    <row r="5" spans="1:6" ht="15" customHeight="1" x14ac:dyDescent="0.3">
      <c r="B5" s="9" t="s">
        <v>191</v>
      </c>
      <c r="C5" s="9"/>
      <c r="D5" s="9"/>
      <c r="E5" s="9"/>
      <c r="F5" s="9"/>
    </row>
    <row r="6" spans="1:6" x14ac:dyDescent="0.3">
      <c r="B6" s="9"/>
      <c r="C6" s="9"/>
      <c r="D6" s="9"/>
      <c r="E6" s="9"/>
      <c r="F6" s="9"/>
    </row>
    <row r="8" spans="1:6" ht="15.6" x14ac:dyDescent="0.3">
      <c r="B8" s="12" t="s">
        <v>3</v>
      </c>
    </row>
    <row r="9" spans="1:6" x14ac:dyDescent="0.3">
      <c r="B9" s="13" t="s">
        <v>4</v>
      </c>
      <c r="C9" s="13" t="s">
        <v>5</v>
      </c>
      <c r="D9" s="13" t="s">
        <v>6</v>
      </c>
      <c r="E9" s="13" t="s">
        <v>7</v>
      </c>
    </row>
    <row r="10" spans="1:6" ht="42" customHeight="1" x14ac:dyDescent="0.3">
      <c r="B10" s="14" t="s">
        <v>8</v>
      </c>
      <c r="C10" s="15" t="s">
        <v>9</v>
      </c>
      <c r="D10" s="15" t="s">
        <v>10</v>
      </c>
      <c r="E10" s="15" t="s">
        <v>11</v>
      </c>
    </row>
    <row r="11" spans="1:6" ht="42" customHeight="1" x14ac:dyDescent="0.3">
      <c r="B11" s="14" t="s">
        <v>12</v>
      </c>
      <c r="C11" s="15" t="s">
        <v>13</v>
      </c>
      <c r="D11" s="15" t="s">
        <v>14</v>
      </c>
      <c r="E11" s="15" t="s">
        <v>192</v>
      </c>
    </row>
    <row r="12" spans="1:6" ht="42" customHeight="1" x14ac:dyDescent="0.3">
      <c r="B12" s="14" t="s">
        <v>15</v>
      </c>
      <c r="C12" s="15" t="s">
        <v>205</v>
      </c>
      <c r="D12" s="15" t="s">
        <v>16</v>
      </c>
      <c r="E12" s="15" t="s">
        <v>17</v>
      </c>
    </row>
    <row r="13" spans="1:6" ht="42" customHeight="1" x14ac:dyDescent="0.3">
      <c r="B13" s="14" t="s">
        <v>18</v>
      </c>
      <c r="C13" s="15" t="s">
        <v>19</v>
      </c>
      <c r="D13" s="15" t="s">
        <v>20</v>
      </c>
      <c r="E13" s="15" t="s">
        <v>21</v>
      </c>
    </row>
    <row r="15" spans="1:6" ht="15.6" x14ac:dyDescent="0.3">
      <c r="B15" s="12" t="s">
        <v>22</v>
      </c>
    </row>
    <row r="16" spans="1:6" ht="19.5" customHeight="1" x14ac:dyDescent="0.3">
      <c r="B16" s="8" t="s">
        <v>206</v>
      </c>
      <c r="C16" s="8"/>
      <c r="D16" s="8"/>
      <c r="E16" s="8"/>
      <c r="F16" s="8"/>
    </row>
    <row r="17" spans="2:6" ht="19.5" customHeight="1" x14ac:dyDescent="0.3">
      <c r="B17" s="8" t="s">
        <v>193</v>
      </c>
      <c r="C17" s="8"/>
      <c r="D17" s="8"/>
      <c r="E17" s="8"/>
      <c r="F17" s="8"/>
    </row>
    <row r="19" spans="2:6" ht="15.6" x14ac:dyDescent="0.3">
      <c r="B19" s="12" t="s">
        <v>23</v>
      </c>
    </row>
    <row r="20" spans="2:6" x14ac:dyDescent="0.3">
      <c r="B20" s="13" t="s">
        <v>24</v>
      </c>
      <c r="C20" s="13" t="s">
        <v>25</v>
      </c>
      <c r="D20" s="13" t="s">
        <v>26</v>
      </c>
    </row>
    <row r="21" spans="2:6" ht="15" customHeight="1" x14ac:dyDescent="0.3">
      <c r="B21" s="16" t="s">
        <v>27</v>
      </c>
      <c r="C21" s="17" t="s">
        <v>28</v>
      </c>
      <c r="D21" s="7" t="s">
        <v>29</v>
      </c>
      <c r="E21" s="7"/>
      <c r="F21" s="7"/>
    </row>
    <row r="22" spans="2:6" ht="15" customHeight="1" x14ac:dyDescent="0.3">
      <c r="B22" s="16" t="s">
        <v>30</v>
      </c>
      <c r="C22" s="17" t="s">
        <v>31</v>
      </c>
      <c r="D22" s="7" t="s">
        <v>32</v>
      </c>
      <c r="E22" s="7"/>
      <c r="F22" s="7"/>
    </row>
    <row r="23" spans="2:6" ht="15" customHeight="1" x14ac:dyDescent="0.3">
      <c r="B23" s="16" t="s">
        <v>33</v>
      </c>
      <c r="C23" s="17" t="s">
        <v>34</v>
      </c>
      <c r="D23" s="7" t="s">
        <v>35</v>
      </c>
      <c r="E23" s="7"/>
      <c r="F23" s="7"/>
    </row>
    <row r="24" spans="2:6" ht="15" customHeight="1" x14ac:dyDescent="0.3">
      <c r="B24" s="16" t="s">
        <v>36</v>
      </c>
      <c r="C24" s="17" t="s">
        <v>37</v>
      </c>
      <c r="D24" s="7" t="s">
        <v>38</v>
      </c>
      <c r="E24" s="7"/>
      <c r="F24" s="7"/>
    </row>
  </sheetData>
  <mergeCells count="7">
    <mergeCell ref="D23:F23"/>
    <mergeCell ref="D24:F24"/>
    <mergeCell ref="B5:F6"/>
    <mergeCell ref="B16:F16"/>
    <mergeCell ref="B17:F17"/>
    <mergeCell ref="D21:F21"/>
    <mergeCell ref="D22:F2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1"/>
  <sheetViews>
    <sheetView showGridLines="0" topLeftCell="A7" zoomScale="110" zoomScaleNormal="110" workbookViewId="0">
      <selection activeCell="H27" sqref="H27"/>
    </sheetView>
  </sheetViews>
  <sheetFormatPr defaultColWidth="8.6640625" defaultRowHeight="14.4" x14ac:dyDescent="0.3"/>
  <cols>
    <col min="1" max="1" width="3" customWidth="1"/>
    <col min="2" max="2" width="34" customWidth="1"/>
    <col min="3" max="3" width="14" customWidth="1"/>
    <col min="4" max="4" width="12" customWidth="1"/>
    <col min="5" max="5" width="48" customWidth="1"/>
  </cols>
  <sheetData>
    <row r="1" spans="1:5" ht="20.399999999999999" x14ac:dyDescent="0.35">
      <c r="A1" s="10" t="s">
        <v>194</v>
      </c>
    </row>
    <row r="2" spans="1:5" x14ac:dyDescent="0.3">
      <c r="A2" s="11" t="s">
        <v>39</v>
      </c>
    </row>
    <row r="4" spans="1:5" x14ac:dyDescent="0.3">
      <c r="B4" s="13" t="s">
        <v>40</v>
      </c>
      <c r="C4" s="13" t="s">
        <v>25</v>
      </c>
      <c r="D4" s="13" t="s">
        <v>41</v>
      </c>
      <c r="E4" s="13" t="s">
        <v>42</v>
      </c>
    </row>
    <row r="5" spans="1:5" ht="19.5" customHeight="1" x14ac:dyDescent="0.3">
      <c r="B5" s="6" t="s">
        <v>43</v>
      </c>
      <c r="C5" s="6"/>
      <c r="D5" s="6"/>
      <c r="E5" s="6"/>
    </row>
    <row r="6" spans="1:5" ht="30" customHeight="1" x14ac:dyDescent="0.3">
      <c r="B6" s="18" t="s">
        <v>44</v>
      </c>
      <c r="C6" s="19">
        <v>0.85</v>
      </c>
      <c r="D6" s="20" t="s">
        <v>45</v>
      </c>
      <c r="E6" s="21" t="s">
        <v>46</v>
      </c>
    </row>
    <row r="7" spans="1:5" ht="30" customHeight="1" x14ac:dyDescent="0.3">
      <c r="B7" s="18" t="s">
        <v>47</v>
      </c>
      <c r="C7" s="22">
        <v>0.17899999999999999</v>
      </c>
      <c r="D7" s="20" t="s">
        <v>48</v>
      </c>
      <c r="E7" s="21" t="s">
        <v>49</v>
      </c>
    </row>
    <row r="8" spans="1:5" ht="30" customHeight="1" x14ac:dyDescent="0.3">
      <c r="B8" s="18" t="s">
        <v>50</v>
      </c>
      <c r="C8" s="22">
        <v>2032</v>
      </c>
      <c r="D8" s="20" t="s">
        <v>51</v>
      </c>
      <c r="E8" s="21" t="s">
        <v>52</v>
      </c>
    </row>
    <row r="9" spans="1:5" ht="30" customHeight="1" x14ac:dyDescent="0.3">
      <c r="B9" s="18" t="s">
        <v>53</v>
      </c>
      <c r="C9" s="22">
        <v>1</v>
      </c>
      <c r="D9" s="20" t="s">
        <v>54</v>
      </c>
      <c r="E9" s="21" t="s">
        <v>55</v>
      </c>
    </row>
    <row r="11" spans="1:5" ht="19.5" customHeight="1" x14ac:dyDescent="0.3">
      <c r="B11" s="6" t="s">
        <v>56</v>
      </c>
      <c r="C11" s="6"/>
      <c r="D11" s="6"/>
      <c r="E11" s="6"/>
    </row>
    <row r="12" spans="1:5" ht="30" customHeight="1" x14ac:dyDescent="0.3">
      <c r="B12" s="18" t="s">
        <v>57</v>
      </c>
      <c r="C12" s="22">
        <v>6200</v>
      </c>
      <c r="D12" s="20" t="s">
        <v>58</v>
      </c>
      <c r="E12" s="21" t="s">
        <v>59</v>
      </c>
    </row>
    <row r="13" spans="1:5" ht="30" customHeight="1" x14ac:dyDescent="0.3">
      <c r="B13" s="18" t="s">
        <v>195</v>
      </c>
      <c r="C13" s="22">
        <v>350000</v>
      </c>
      <c r="D13" s="20" t="s">
        <v>60</v>
      </c>
      <c r="E13" s="21" t="s">
        <v>61</v>
      </c>
    </row>
    <row r="14" spans="1:5" ht="30" customHeight="1" x14ac:dyDescent="0.3">
      <c r="B14" s="18" t="s">
        <v>62</v>
      </c>
      <c r="C14" s="22">
        <v>14</v>
      </c>
      <c r="D14" s="20" t="s">
        <v>63</v>
      </c>
      <c r="E14" s="21" t="s">
        <v>64</v>
      </c>
    </row>
    <row r="16" spans="1:5" ht="19.5" customHeight="1" x14ac:dyDescent="0.3">
      <c r="B16" s="6" t="s">
        <v>65</v>
      </c>
      <c r="C16" s="6"/>
      <c r="D16" s="6"/>
      <c r="E16" s="6"/>
    </row>
    <row r="17" spans="2:5" ht="30" customHeight="1" x14ac:dyDescent="0.3">
      <c r="B17" s="18" t="s">
        <v>66</v>
      </c>
      <c r="C17" s="19">
        <v>0.06</v>
      </c>
      <c r="D17" s="20" t="s">
        <v>45</v>
      </c>
      <c r="E17" s="21" t="s">
        <v>67</v>
      </c>
    </row>
    <row r="18" spans="2:5" ht="30" customHeight="1" x14ac:dyDescent="0.3">
      <c r="B18" s="18" t="s">
        <v>68</v>
      </c>
      <c r="C18" s="19">
        <v>0.12</v>
      </c>
      <c r="D18" s="20" t="s">
        <v>45</v>
      </c>
      <c r="E18" s="21" t="s">
        <v>69</v>
      </c>
    </row>
    <row r="19" spans="2:5" ht="30" customHeight="1" x14ac:dyDescent="0.3">
      <c r="B19" s="18" t="s">
        <v>70</v>
      </c>
      <c r="C19" s="19">
        <v>0.2</v>
      </c>
      <c r="D19" s="20" t="s">
        <v>45</v>
      </c>
      <c r="E19" s="21" t="s">
        <v>71</v>
      </c>
    </row>
    <row r="20" spans="2:5" ht="30" customHeight="1" x14ac:dyDescent="0.3">
      <c r="B20" s="18" t="s">
        <v>72</v>
      </c>
      <c r="C20" s="19">
        <v>0.08</v>
      </c>
      <c r="D20" s="20" t="s">
        <v>45</v>
      </c>
      <c r="E20" s="21" t="s">
        <v>73</v>
      </c>
    </row>
    <row r="22" spans="2:5" ht="19.5" customHeight="1" x14ac:dyDescent="0.3">
      <c r="B22" s="6" t="s">
        <v>74</v>
      </c>
      <c r="C22" s="6"/>
      <c r="D22" s="6"/>
      <c r="E22" s="6"/>
    </row>
    <row r="23" spans="2:5" ht="30" customHeight="1" x14ac:dyDescent="0.3">
      <c r="B23" s="18" t="s">
        <v>75</v>
      </c>
      <c r="C23" s="19">
        <v>0.35</v>
      </c>
      <c r="D23" s="20" t="s">
        <v>45</v>
      </c>
      <c r="E23" s="21" t="s">
        <v>76</v>
      </c>
    </row>
    <row r="24" spans="2:5" ht="30" customHeight="1" x14ac:dyDescent="0.3">
      <c r="B24" s="18" t="s">
        <v>77</v>
      </c>
      <c r="C24" s="22">
        <v>1.5</v>
      </c>
      <c r="D24" s="20" t="s">
        <v>78</v>
      </c>
      <c r="E24" s="21" t="s">
        <v>79</v>
      </c>
    </row>
    <row r="25" spans="2:5" ht="30" customHeight="1" x14ac:dyDescent="0.3">
      <c r="B25" s="18" t="s">
        <v>80</v>
      </c>
      <c r="C25" s="19">
        <v>0.2</v>
      </c>
      <c r="D25" s="20" t="s">
        <v>45</v>
      </c>
      <c r="E25" s="21" t="s">
        <v>81</v>
      </c>
    </row>
    <row r="26" spans="2:5" ht="30" customHeight="1" x14ac:dyDescent="0.3">
      <c r="B26" s="18" t="s">
        <v>196</v>
      </c>
      <c r="C26" s="22">
        <v>4000</v>
      </c>
      <c r="D26" s="20" t="s">
        <v>82</v>
      </c>
      <c r="E26" s="21" t="s">
        <v>83</v>
      </c>
    </row>
    <row r="27" spans="2:5" ht="30" customHeight="1" x14ac:dyDescent="0.3">
      <c r="B27" s="18" t="s">
        <v>84</v>
      </c>
      <c r="C27" s="19">
        <v>0.05</v>
      </c>
      <c r="D27" s="20" t="s">
        <v>45</v>
      </c>
      <c r="E27" s="21" t="s">
        <v>85</v>
      </c>
    </row>
    <row r="28" spans="2:5" ht="30" customHeight="1" x14ac:dyDescent="0.3">
      <c r="B28" s="18" t="s">
        <v>86</v>
      </c>
      <c r="C28" s="22">
        <v>33000</v>
      </c>
      <c r="D28" s="20" t="s">
        <v>87</v>
      </c>
      <c r="E28" s="21" t="s">
        <v>88</v>
      </c>
    </row>
    <row r="29" spans="2:5" ht="30" customHeight="1" x14ac:dyDescent="0.3">
      <c r="B29" s="18" t="s">
        <v>89</v>
      </c>
      <c r="C29" s="22">
        <v>0.65700000000000003</v>
      </c>
      <c r="D29" s="20" t="s">
        <v>54</v>
      </c>
      <c r="E29" s="21" t="s">
        <v>90</v>
      </c>
    </row>
    <row r="30" spans="2:5" ht="30" customHeight="1" x14ac:dyDescent="0.3">
      <c r="B30" s="18" t="s">
        <v>91</v>
      </c>
      <c r="C30" s="22">
        <v>32</v>
      </c>
      <c r="D30" s="20" t="s">
        <v>92</v>
      </c>
      <c r="E30" s="21" t="s">
        <v>93</v>
      </c>
    </row>
    <row r="31" spans="2:5" ht="30" customHeight="1" x14ac:dyDescent="0.3">
      <c r="B31" s="18" t="s">
        <v>94</v>
      </c>
      <c r="C31" s="22">
        <v>22</v>
      </c>
      <c r="D31" s="20" t="s">
        <v>78</v>
      </c>
      <c r="E31" s="21" t="s">
        <v>95</v>
      </c>
    </row>
  </sheetData>
  <mergeCells count="4">
    <mergeCell ref="B5:E5"/>
    <mergeCell ref="B11:E11"/>
    <mergeCell ref="B16:E16"/>
    <mergeCell ref="B22:E2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9"/>
  <sheetViews>
    <sheetView showGridLines="0" zoomScale="110" zoomScaleNormal="110" workbookViewId="0">
      <selection activeCell="D18" sqref="D18"/>
    </sheetView>
  </sheetViews>
  <sheetFormatPr defaultColWidth="8.6640625" defaultRowHeight="14.4" x14ac:dyDescent="0.3"/>
  <cols>
    <col min="1" max="1" width="3" customWidth="1"/>
    <col min="2" max="2" width="10" customWidth="1"/>
    <col min="3" max="3" width="22" customWidth="1"/>
    <col min="4" max="6" width="20" customWidth="1"/>
    <col min="7" max="7" width="22.77734375" customWidth="1"/>
  </cols>
  <sheetData>
    <row r="1" spans="1:7" ht="20.399999999999999" x14ac:dyDescent="0.35">
      <c r="A1" s="10" t="s">
        <v>96</v>
      </c>
    </row>
    <row r="2" spans="1:7" x14ac:dyDescent="0.3">
      <c r="A2" s="11" t="s">
        <v>197</v>
      </c>
    </row>
    <row r="4" spans="1:7" x14ac:dyDescent="0.3">
      <c r="B4" s="13" t="s">
        <v>63</v>
      </c>
      <c r="C4" s="13" t="s">
        <v>97</v>
      </c>
      <c r="D4" s="13" t="s">
        <v>98</v>
      </c>
      <c r="E4" s="13" t="s">
        <v>99</v>
      </c>
      <c r="F4" s="13" t="s">
        <v>198</v>
      </c>
      <c r="G4" s="13" t="s">
        <v>199</v>
      </c>
    </row>
    <row r="5" spans="1:7" x14ac:dyDescent="0.3">
      <c r="B5" s="23" t="s">
        <v>100</v>
      </c>
      <c r="C5" s="24">
        <f>MIN('2.สมมติฐาน'!$C$6/(1+EXP(-'2.สมมติฐาน'!$C$7*(2018-'2.สมมติฐาน'!$C$8)))*'2.สมมติฐาน'!$C$9,'2.สมมติฐาน'!$C$6)</f>
        <v>6.4122832679134906E-2</v>
      </c>
      <c r="D5" s="25">
        <f>'2.สมมติฐาน'!$C$12*C5</f>
        <v>397.56156261063643</v>
      </c>
      <c r="E5" s="25">
        <v>0</v>
      </c>
      <c r="F5" s="25">
        <f>MAX(D5-E5,0)</f>
        <v>397.56156261063643</v>
      </c>
      <c r="G5" s="26">
        <f>F5/'2.สมมติฐาน'!$C$13</f>
        <v>1.1358901788875327E-3</v>
      </c>
    </row>
    <row r="6" spans="1:7" x14ac:dyDescent="0.3">
      <c r="B6" s="23" t="s">
        <v>101</v>
      </c>
      <c r="C6" s="24">
        <f>MIN('2.สมมติฐาน'!$C$6/(1+EXP(-'2.สมมติฐาน'!$C$7*(2019-'2.สมมติฐาน'!$C$8)))*'2.สมมติฐาน'!$C$9,'2.สมมติฐาน'!$C$6)</f>
        <v>7.5574674853534571E-2</v>
      </c>
      <c r="D6" s="25">
        <f>'2.สมมติฐาน'!$C$12*C6</f>
        <v>468.56298409191436</v>
      </c>
      <c r="E6" s="25">
        <v>0</v>
      </c>
      <c r="F6" s="25">
        <f t="shared" ref="F6:F27" si="0">MAX(F5+D6-E6,0)</f>
        <v>866.12454670255079</v>
      </c>
      <c r="G6" s="26">
        <f>F6/'2.สมมติฐาน'!$C$13</f>
        <v>2.474641562007288E-3</v>
      </c>
    </row>
    <row r="7" spans="1:7" x14ac:dyDescent="0.3">
      <c r="B7" s="23" t="s">
        <v>102</v>
      </c>
      <c r="C7" s="24">
        <f>MIN('2.สมมติฐาน'!$C$6/(1+EXP(-'2.สมมติฐาน'!$C$7*(2020-'2.สมมติฐาน'!$C$8)))*'2.สมมติฐาน'!$C$9,'2.สมมติฐาน'!$C$6)</f>
        <v>8.884052398072935E-2</v>
      </c>
      <c r="D7" s="25">
        <f>'2.สมมติฐาน'!$C$12*C7</f>
        <v>550.811248680522</v>
      </c>
      <c r="E7" s="25">
        <v>0</v>
      </c>
      <c r="F7" s="25">
        <f t="shared" si="0"/>
        <v>1416.9357953830727</v>
      </c>
      <c r="G7" s="26">
        <f>F7/'2.สมมติฐาน'!$C$13</f>
        <v>4.0483879868087793E-3</v>
      </c>
    </row>
    <row r="8" spans="1:7" x14ac:dyDescent="0.3">
      <c r="B8" s="23" t="s">
        <v>103</v>
      </c>
      <c r="C8" s="24">
        <f>MIN('2.สมมติฐาน'!$C$6/(1+EXP(-'2.สมมติฐาน'!$C$7*(2021-'2.สมมติฐาน'!$C$8)))*'2.สมมติฐาน'!$C$9,'2.สมมติฐาน'!$C$6)</f>
        <v>0.10412188665040441</v>
      </c>
      <c r="D8" s="25">
        <f>'2.สมมติฐาน'!$C$12*C8</f>
        <v>645.55569723250733</v>
      </c>
      <c r="E8" s="25">
        <v>0</v>
      </c>
      <c r="F8" s="25">
        <f t="shared" si="0"/>
        <v>2062.4914926155798</v>
      </c>
      <c r="G8" s="26">
        <f>F8/'2.สมมติฐาน'!$C$13</f>
        <v>5.8928328360445138E-3</v>
      </c>
    </row>
    <row r="9" spans="1:7" x14ac:dyDescent="0.3">
      <c r="B9" s="23" t="s">
        <v>104</v>
      </c>
      <c r="C9" s="24">
        <f>MIN('2.สมมติฐาน'!$C$6/(1+EXP(-'2.สมมติฐาน'!$C$7*(2022-'2.สมมติฐาน'!$C$8)))*'2.สมมติฐาน'!$C$9,'2.สมมติฐาน'!$C$6)</f>
        <v>0.12161181495806868</v>
      </c>
      <c r="D9" s="25">
        <f>'2.สมมติฐาน'!$C$12*C9</f>
        <v>753.99325274002581</v>
      </c>
      <c r="E9" s="25">
        <v>0</v>
      </c>
      <c r="F9" s="25">
        <f t="shared" si="0"/>
        <v>2816.4847453556058</v>
      </c>
      <c r="G9" s="26">
        <f>F9/'2.สมมติฐาน'!$C$13</f>
        <v>8.047099272444588E-3</v>
      </c>
    </row>
    <row r="10" spans="1:7" x14ac:dyDescent="0.3">
      <c r="B10" s="23" t="s">
        <v>105</v>
      </c>
      <c r="C10" s="24">
        <f>MIN('2.สมมติฐาน'!$C$6/(1+EXP(-'2.สมมติฐาน'!$C$7*(2023-'2.สมมติฐาน'!$C$8)))*'2.สมมติฐาน'!$C$9,'2.สมมติฐาน'!$C$6)</f>
        <v>0.14148234956188008</v>
      </c>
      <c r="D10" s="25">
        <f>'2.สมมติฐาน'!$C$12*C10</f>
        <v>877.19056728365649</v>
      </c>
      <c r="E10" s="25">
        <v>0</v>
      </c>
      <c r="F10" s="25">
        <f t="shared" si="0"/>
        <v>3693.6753126392623</v>
      </c>
      <c r="G10" s="26">
        <f>F10/'2.สมมติฐาน'!$C$13</f>
        <v>1.0553358036112178E-2</v>
      </c>
    </row>
    <row r="11" spans="1:7" x14ac:dyDescent="0.3">
      <c r="B11" s="23" t="s">
        <v>106</v>
      </c>
      <c r="C11" s="24">
        <f>MIN('2.สมมติฐาน'!$C$6/(1+EXP(-'2.สมมติฐาน'!$C$7*(2024-'2.สมมติฐาน'!$C$8)))*'2.สมมติฐาน'!$C$9,'2.สมมติฐาน'!$C$6)</f>
        <v>0.16386916448048944</v>
      </c>
      <c r="D11" s="25">
        <f>'2.สมมติฐาน'!$C$12*C11</f>
        <v>1015.9888197790345</v>
      </c>
      <c r="E11" s="25">
        <v>0</v>
      </c>
      <c r="F11" s="25">
        <f t="shared" si="0"/>
        <v>4709.6641324182965</v>
      </c>
      <c r="G11" s="26">
        <f>F11/'2.สมมติฐาน'!$C$13</f>
        <v>1.3456183235480847E-2</v>
      </c>
    </row>
    <row r="12" spans="1:7" x14ac:dyDescent="0.3">
      <c r="B12" s="27" t="s">
        <v>107</v>
      </c>
      <c r="C12" s="28">
        <f>MIN('2.สมมติฐาน'!$C$6/(1+EXP(-'2.สมมติฐาน'!$C$7*(2025-'2.สมมติฐาน'!$C$8)))*'2.สมมติฐาน'!$C$9,'2.สมมติฐาน'!$C$6)</f>
        <v>0.18885406803475274</v>
      </c>
      <c r="D12" s="29">
        <f>'2.สมมติฐาน'!$C$12*C12</f>
        <v>1170.895221815467</v>
      </c>
      <c r="E12" s="29">
        <v>0</v>
      </c>
      <c r="F12" s="29">
        <f t="shared" si="0"/>
        <v>5880.5593542337638</v>
      </c>
      <c r="G12" s="30">
        <f>F12/'2.สมมติฐาน'!$C$13</f>
        <v>1.680159815495361E-2</v>
      </c>
    </row>
    <row r="13" spans="1:7" x14ac:dyDescent="0.3">
      <c r="B13" s="23" t="s">
        <v>108</v>
      </c>
      <c r="C13" s="24">
        <f>MIN('2.สมมติฐาน'!$C$6/(1+EXP(-'2.สมมติฐาน'!$C$7*(2026-'2.สมมติฐาน'!$C$8)))*'2.สมมติฐาน'!$C$9,'2.สมมติฐาน'!$C$6)</f>
        <v>0.21644666841468133</v>
      </c>
      <c r="D13" s="25">
        <f>'2.สมมติฐาน'!$C$12*C13</f>
        <v>1341.9693441710242</v>
      </c>
      <c r="E13" s="25">
        <v>0</v>
      </c>
      <c r="F13" s="25">
        <f t="shared" si="0"/>
        <v>7222.528698404788</v>
      </c>
      <c r="G13" s="26">
        <f>F13/'2.สมมติฐาน'!$C$13</f>
        <v>2.0635796281156537E-2</v>
      </c>
    </row>
    <row r="14" spans="1:7" x14ac:dyDescent="0.3">
      <c r="B14" s="23" t="s">
        <v>109</v>
      </c>
      <c r="C14" s="24">
        <f>MIN('2.สมมติฐาน'!$C$6/(1+EXP(-'2.สมมติฐาน'!$C$7*(2027-'2.สมมติฐาน'!$C$8)))*'2.สมมติฐาน'!$C$9,'2.สมมติฐาน'!$C$6)</f>
        <v>0.2465672194157148</v>
      </c>
      <c r="D14" s="25">
        <f>'2.สมมติฐาน'!$C$12*C14</f>
        <v>1528.7167603774317</v>
      </c>
      <c r="E14" s="25">
        <v>0</v>
      </c>
      <c r="F14" s="25">
        <f t="shared" si="0"/>
        <v>8751.2454587822194</v>
      </c>
      <c r="G14" s="26">
        <f>F14/'2.สมมติฐาน'!$C$13</f>
        <v>2.5003558453663484E-2</v>
      </c>
    </row>
    <row r="15" spans="1:7" x14ac:dyDescent="0.3">
      <c r="B15" s="23" t="s">
        <v>110</v>
      </c>
      <c r="C15" s="24">
        <f>MIN('2.สมมติฐาน'!$C$6/(1+EXP(-'2.สมมติฐาน'!$C$7*(2028-'2.สมมติฐาน'!$C$8)))*'2.สมมติฐาน'!$C$9,'2.สมมติฐาน'!$C$6)</f>
        <v>0.2790332549556318</v>
      </c>
      <c r="D15" s="25">
        <f>'2.สมมติฐาน'!$C$12*C15</f>
        <v>1730.0061807249172</v>
      </c>
      <c r="E15" s="25">
        <v>0</v>
      </c>
      <c r="F15" s="25">
        <f t="shared" si="0"/>
        <v>10481.251639507136</v>
      </c>
      <c r="G15" s="26">
        <f>F15/'2.สมมติฐาน'!$C$13</f>
        <v>2.9946433255734674E-2</v>
      </c>
    </row>
    <row r="16" spans="1:7" x14ac:dyDescent="0.3">
      <c r="B16" s="23" t="s">
        <v>111</v>
      </c>
      <c r="C16" s="24">
        <f>MIN('2.สมมติฐาน'!$C$6/(1+EXP(-'2.สมมติฐาน'!$C$7*(2029-'2.สมมติฐาน'!$C$8)))*'2.สมมติฐาน'!$C$9,'2.สมมติฐาน'!$C$6)</f>
        <v>0.31355287413391131</v>
      </c>
      <c r="D16" s="25">
        <f>'2.สมมติฐาน'!$C$12*C16</f>
        <v>1944.0278196302502</v>
      </c>
      <c r="E16" s="25">
        <v>0</v>
      </c>
      <c r="F16" s="25">
        <f t="shared" si="0"/>
        <v>12425.279459137386</v>
      </c>
      <c r="G16" s="26">
        <f>F16/'2.สมมติฐาน'!$C$13</f>
        <v>3.5500798454678247E-2</v>
      </c>
    </row>
    <row r="17" spans="2:7" x14ac:dyDescent="0.3">
      <c r="B17" s="27" t="s">
        <v>112</v>
      </c>
      <c r="C17" s="28">
        <f>MIN('2.สมมติฐาน'!$C$6/(1+EXP(-'2.สมมติฐาน'!$C$7*(2030-'2.สมมติฐาน'!$C$8)))*'2.สมมติฐาน'!$C$9,'2.สมมติฐาน'!$C$6)</f>
        <v>0.34972722627204517</v>
      </c>
      <c r="D17" s="29">
        <f>'2.สมมติฐาน'!$C$12*C17</f>
        <v>2168.30880288668</v>
      </c>
      <c r="E17" s="29">
        <v>0</v>
      </c>
      <c r="F17" s="29">
        <f t="shared" si="0"/>
        <v>14593.588262024066</v>
      </c>
      <c r="G17" s="30">
        <f>F17/'2.สมมติฐาน'!$C$13</f>
        <v>4.1695966462925907E-2</v>
      </c>
    </row>
    <row r="18" spans="2:7" x14ac:dyDescent="0.3">
      <c r="B18" s="23" t="s">
        <v>113</v>
      </c>
      <c r="C18" s="24">
        <f>MIN('2.สมมติฐาน'!$C$6/(1+EXP(-'2.สมมติฐาน'!$C$7*(2031-'2.สมมติฐาน'!$C$8)))*'2.สมมติฐาน'!$C$9,'2.สมมติฐาน'!$C$6)</f>
        <v>0.38706373892751278</v>
      </c>
      <c r="D18" s="25">
        <f>'2.สมมติฐาน'!$C$12*C18</f>
        <v>2399.7951813505792</v>
      </c>
      <c r="E18" s="25">
        <v>0</v>
      </c>
      <c r="F18" s="25">
        <f t="shared" si="0"/>
        <v>16993.383443374645</v>
      </c>
      <c r="G18" s="26">
        <f>F18/'2.สมมติฐาน'!$C$13</f>
        <v>4.8552524123927555E-2</v>
      </c>
    </row>
    <row r="19" spans="2:7" x14ac:dyDescent="0.3">
      <c r="B19" s="23" t="s">
        <v>114</v>
      </c>
      <c r="C19" s="24">
        <f>MIN('2.สมมติฐาน'!$C$6/(1+EXP(-'2.สมมติฐาน'!$C$7*(2032-'2.สมมติฐาน'!$C$8)))*'2.สมมติฐาน'!$C$9,'2.สมมติฐาน'!$C$6)</f>
        <v>0.42499999999999999</v>
      </c>
      <c r="D19" s="25">
        <f>'2.สมมติฐาน'!$C$12*C19</f>
        <v>2635</v>
      </c>
      <c r="E19" s="25">
        <f>'2.สมมติฐาน'!$C$12*C5</f>
        <v>397.56156261063643</v>
      </c>
      <c r="F19" s="25">
        <f t="shared" si="0"/>
        <v>19230.821880764008</v>
      </c>
      <c r="G19" s="26">
        <f>F19/'2.สมมติฐาน'!$C$13</f>
        <v>5.4945205373611451E-2</v>
      </c>
    </row>
    <row r="20" spans="2:7" x14ac:dyDescent="0.3">
      <c r="B20" s="23" t="s">
        <v>115</v>
      </c>
      <c r="C20" s="24">
        <f>MIN('2.สมมติฐาน'!$C$6/(1+EXP(-'2.สมมติฐาน'!$C$7*(2033-'2.สมมติฐาน'!$C$8)))*'2.สมมติฐาน'!$C$9,'2.สมมติฐาน'!$C$6)</f>
        <v>0.46293626107248725</v>
      </c>
      <c r="D20" s="25">
        <f>'2.สมมติฐาน'!$C$12*C20</f>
        <v>2870.2048186494208</v>
      </c>
      <c r="E20" s="25">
        <f>'2.สมมติฐาน'!$C$12*C6</f>
        <v>468.56298409191436</v>
      </c>
      <c r="F20" s="25">
        <f t="shared" si="0"/>
        <v>21632.463715321515</v>
      </c>
      <c r="G20" s="26">
        <f>F20/'2.สมมติฐาน'!$C$13</f>
        <v>6.1807039186632898E-2</v>
      </c>
    </row>
    <row r="21" spans="2:7" x14ac:dyDescent="0.3">
      <c r="B21" s="23" t="s">
        <v>116</v>
      </c>
      <c r="C21" s="24">
        <f>MIN('2.สมมติฐาน'!$C$6/(1+EXP(-'2.สมมติฐาน'!$C$7*(2034-'2.สมมติฐาน'!$C$8)))*'2.สมมติฐาน'!$C$9,'2.สมมติฐาน'!$C$6)</f>
        <v>0.50027277372795476</v>
      </c>
      <c r="D21" s="25">
        <f>'2.สมมติฐาน'!$C$12*C21</f>
        <v>3101.6911971133195</v>
      </c>
      <c r="E21" s="25">
        <f>'2.สมมติฐาน'!$C$12*C7</f>
        <v>550.811248680522</v>
      </c>
      <c r="F21" s="25">
        <f t="shared" si="0"/>
        <v>24183.343663754313</v>
      </c>
      <c r="G21" s="26">
        <f>F21/'2.สมมติฐาน'!$C$13</f>
        <v>6.909526761072661E-2</v>
      </c>
    </row>
    <row r="22" spans="2:7" x14ac:dyDescent="0.3">
      <c r="B22" s="23" t="s">
        <v>117</v>
      </c>
      <c r="C22" s="24">
        <f>MIN('2.สมมติฐาน'!$C$6/(1+EXP(-'2.สมมติฐาน'!$C$7*(2035-'2.สมมติฐาน'!$C$8)))*'2.สมมติฐาน'!$C$9,'2.สมมติฐาน'!$C$6)</f>
        <v>0.53644712586608867</v>
      </c>
      <c r="D22" s="25">
        <f>'2.สมมติฐาน'!$C$12*C22</f>
        <v>3325.9721803697498</v>
      </c>
      <c r="E22" s="25">
        <f>'2.สมมติฐาน'!$C$12*C8</f>
        <v>645.55569723250733</v>
      </c>
      <c r="F22" s="25">
        <f t="shared" si="0"/>
        <v>26863.760146891556</v>
      </c>
      <c r="G22" s="26">
        <f>F22/'2.สมมติฐาน'!$C$13</f>
        <v>7.6753600419690163E-2</v>
      </c>
    </row>
    <row r="23" spans="2:7" x14ac:dyDescent="0.3">
      <c r="B23" s="23" t="s">
        <v>118</v>
      </c>
      <c r="C23" s="24">
        <f>MIN('2.สมมติฐาน'!$C$6/(1+EXP(-'2.สมมติฐาน'!$C$7*(2036-'2.สมมติฐาน'!$C$8)))*'2.สมมติฐาน'!$C$9,'2.สมมติฐาน'!$C$6)</f>
        <v>0.57096674504436817</v>
      </c>
      <c r="D23" s="25">
        <f>'2.สมมติฐาน'!$C$12*C23</f>
        <v>3539.9938192750828</v>
      </c>
      <c r="E23" s="25">
        <f>'2.สมมติฐาน'!$C$12*C9</f>
        <v>753.99325274002581</v>
      </c>
      <c r="F23" s="25">
        <f t="shared" si="0"/>
        <v>29649.760713426611</v>
      </c>
      <c r="G23" s="26">
        <f>F23/'2.สมมติฐาน'!$C$13</f>
        <v>8.4713602038361743E-2</v>
      </c>
    </row>
    <row r="24" spans="2:7" x14ac:dyDescent="0.3">
      <c r="B24" s="23" t="s">
        <v>119</v>
      </c>
      <c r="C24" s="24">
        <f>MIN('2.สมมติฐาน'!$C$6/(1+EXP(-'2.สมมติฐาน'!$C$7*(2037-'2.สมมติฐาน'!$C$8)))*'2.สมมติฐาน'!$C$9,'2.สมมติฐาน'!$C$6)</f>
        <v>0.60343278058428518</v>
      </c>
      <c r="D24" s="25">
        <f>'2.สมมติฐาน'!$C$12*C24</f>
        <v>3741.2832396225681</v>
      </c>
      <c r="E24" s="25">
        <f>'2.สมมติฐาน'!$C$12*C10</f>
        <v>877.19056728365649</v>
      </c>
      <c r="F24" s="25">
        <f t="shared" si="0"/>
        <v>32513.85338576552</v>
      </c>
      <c r="G24" s="26">
        <f>F24/'2.สมมติฐาน'!$C$13</f>
        <v>9.289672395933006E-2</v>
      </c>
    </row>
    <row r="25" spans="2:7" x14ac:dyDescent="0.3">
      <c r="B25" s="23" t="s">
        <v>120</v>
      </c>
      <c r="C25" s="24">
        <f>MIN('2.สมมติฐาน'!$C$6/(1+EXP(-'2.สมมติฐาน'!$C$7*(2038-'2.สมมติฐาน'!$C$8)))*'2.สมมติฐาน'!$C$9,'2.สมมติฐาน'!$C$6)</f>
        <v>0.63355333158531868</v>
      </c>
      <c r="D25" s="25">
        <f>'2.สมมติฐาน'!$C$12*C25</f>
        <v>3928.0306558289758</v>
      </c>
      <c r="E25" s="25">
        <f>'2.สมมติฐาน'!$C$12*C11</f>
        <v>1015.9888197790345</v>
      </c>
      <c r="F25" s="25">
        <f t="shared" si="0"/>
        <v>35425.895221815459</v>
      </c>
      <c r="G25" s="26">
        <f>F25/'2.สมมติฐาน'!$C$13</f>
        <v>0.10121684349090131</v>
      </c>
    </row>
    <row r="26" spans="2:7" x14ac:dyDescent="0.3">
      <c r="B26" s="23" t="s">
        <v>121</v>
      </c>
      <c r="C26" s="24">
        <f>MIN('2.สมมติฐาน'!$C$6/(1+EXP(-'2.สมมติฐาน'!$C$7*(2039-'2.สมมติฐาน'!$C$8)))*'2.สมมติฐาน'!$C$9,'2.สมมติฐาน'!$C$6)</f>
        <v>0.66114593196524729</v>
      </c>
      <c r="D26" s="25">
        <f>'2.สมมติฐาน'!$C$12*C26</f>
        <v>4099.1047781845336</v>
      </c>
      <c r="E26" s="25">
        <f>'2.สมมติฐาน'!$C$12*C12</f>
        <v>1170.895221815467</v>
      </c>
      <c r="F26" s="25">
        <f t="shared" si="0"/>
        <v>38354.104778184526</v>
      </c>
      <c r="G26" s="26">
        <f>F26/'2.สมมติฐาน'!$C$13</f>
        <v>0.10958315650909865</v>
      </c>
    </row>
    <row r="27" spans="2:7" x14ac:dyDescent="0.3">
      <c r="B27" s="23" t="s">
        <v>122</v>
      </c>
      <c r="C27" s="24">
        <f>MIN('2.สมมติฐาน'!$C$6/(1+EXP(-'2.สมมติฐาน'!$C$7*(2040-'2.สมมติฐาน'!$C$8)))*'2.สมมติฐาน'!$C$9,'2.สมมติฐาน'!$C$6)</f>
        <v>0.6861308355195106</v>
      </c>
      <c r="D27" s="25">
        <f>'2.สมมติฐาน'!$C$12*C27</f>
        <v>4254.0111802209658</v>
      </c>
      <c r="E27" s="25">
        <f>'2.สมมติฐาน'!$C$12*C13</f>
        <v>1341.9693441710242</v>
      </c>
      <c r="F27" s="25">
        <f t="shared" si="0"/>
        <v>41266.146614234465</v>
      </c>
      <c r="G27" s="26">
        <f>F27/'2.สมมติฐาน'!$C$13</f>
        <v>0.1179032760406699</v>
      </c>
    </row>
    <row r="29" spans="2:7" ht="39.75" customHeight="1" x14ac:dyDescent="0.3">
      <c r="B29" s="5" t="s">
        <v>123</v>
      </c>
      <c r="C29" s="5"/>
      <c r="D29" s="5"/>
      <c r="E29" s="5"/>
      <c r="F29" s="5"/>
      <c r="G29" s="5"/>
    </row>
  </sheetData>
  <mergeCells count="1">
    <mergeCell ref="B29:G29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7"/>
  <sheetViews>
    <sheetView showGridLines="0" zoomScale="110" zoomScaleNormal="110" workbookViewId="0">
      <selection activeCell="E15" sqref="E15"/>
    </sheetView>
  </sheetViews>
  <sheetFormatPr defaultColWidth="8.6640625" defaultRowHeight="14.4" x14ac:dyDescent="0.3"/>
  <cols>
    <col min="1" max="1" width="3" customWidth="1"/>
    <col min="2" max="2" width="36" customWidth="1"/>
    <col min="3" max="3" width="16" customWidth="1"/>
    <col min="4" max="4" width="4" customWidth="1"/>
    <col min="5" max="5" width="42" customWidth="1"/>
  </cols>
  <sheetData>
    <row r="1" spans="1:5" ht="20.399999999999999" x14ac:dyDescent="0.35">
      <c r="A1" s="10" t="s">
        <v>124</v>
      </c>
    </row>
    <row r="2" spans="1:5" x14ac:dyDescent="0.3">
      <c r="A2" s="11" t="s">
        <v>200</v>
      </c>
    </row>
    <row r="4" spans="1:5" ht="15.6" x14ac:dyDescent="0.3">
      <c r="B4" s="31" t="s">
        <v>125</v>
      </c>
      <c r="C4" s="32">
        <v>2030</v>
      </c>
    </row>
    <row r="6" spans="1:5" x14ac:dyDescent="0.3">
      <c r="B6" s="13" t="s">
        <v>126</v>
      </c>
      <c r="C6" s="13" t="s">
        <v>127</v>
      </c>
      <c r="D6" s="13"/>
      <c r="E6" s="13" t="s">
        <v>128</v>
      </c>
    </row>
    <row r="7" spans="1:5" x14ac:dyDescent="0.3">
      <c r="B7" s="33" t="s">
        <v>129</v>
      </c>
      <c r="C7" s="34">
        <f>INDEX('3.S-curve การยอมรับ'!F:F,MATCH(TEXT('4.Demand สถานี'!$C$4,"0"),'3.S-curve การยอมรับ'!B:B,0))</f>
        <v>14593.588262024066</v>
      </c>
      <c r="D7" s="4" t="s">
        <v>130</v>
      </c>
      <c r="E7" s="4"/>
    </row>
    <row r="8" spans="1:5" ht="24" customHeight="1" x14ac:dyDescent="0.3">
      <c r="B8" s="18" t="s">
        <v>131</v>
      </c>
      <c r="C8" s="35">
        <f>ROUND(C7*'2.สมมติฐาน'!$C$23*'2.สมมติฐาน'!$C$24/7*'2.สมมติฐาน'!$C$25,0)</f>
        <v>219</v>
      </c>
      <c r="D8" s="3" t="s">
        <v>132</v>
      </c>
      <c r="E8" s="3"/>
    </row>
    <row r="9" spans="1:5" ht="24" customHeight="1" x14ac:dyDescent="0.3">
      <c r="B9" s="18" t="s">
        <v>201</v>
      </c>
      <c r="C9" s="35">
        <f>ROUND('2.สมมติฐาน'!$C$26*'2.สมมติฐาน'!$C$27*1*0.3,0)</f>
        <v>60</v>
      </c>
      <c r="D9" s="3" t="s">
        <v>133</v>
      </c>
      <c r="E9" s="3"/>
    </row>
    <row r="10" spans="1:5" ht="24" customHeight="1" x14ac:dyDescent="0.3">
      <c r="B10" s="18" t="s">
        <v>134</v>
      </c>
      <c r="C10" s="35">
        <f>ROUND('2.สมมติฐาน'!$C$28*0.1*4*0.05*0.5*0.3*0.25,0)</f>
        <v>25</v>
      </c>
      <c r="D10" s="3" t="s">
        <v>135</v>
      </c>
      <c r="E10" s="3"/>
    </row>
    <row r="11" spans="1:5" ht="24" customHeight="1" x14ac:dyDescent="0.3">
      <c r="B11" s="18" t="s">
        <v>136</v>
      </c>
      <c r="C11" s="35">
        <f>ROUND(20*0.25,0)</f>
        <v>5</v>
      </c>
      <c r="D11" s="3" t="s">
        <v>137</v>
      </c>
      <c r="E11" s="3"/>
    </row>
    <row r="12" spans="1:5" x14ac:dyDescent="0.3">
      <c r="B12" s="36" t="s">
        <v>138</v>
      </c>
      <c r="C12" s="37">
        <f>SUM(C8:C11)</f>
        <v>309</v>
      </c>
    </row>
    <row r="13" spans="1:5" x14ac:dyDescent="0.3">
      <c r="B13" s="38" t="s">
        <v>139</v>
      </c>
      <c r="C13" s="39">
        <f>ROUND(C12*'2.สมมติฐาน'!$C$29,0)</f>
        <v>203</v>
      </c>
    </row>
    <row r="14" spans="1:5" x14ac:dyDescent="0.3">
      <c r="B14" s="33" t="s">
        <v>140</v>
      </c>
      <c r="C14" s="40">
        <f>ROUND(C13*'2.สมมติฐาน'!$C$30,0)</f>
        <v>6496</v>
      </c>
    </row>
    <row r="15" spans="1:5" x14ac:dyDescent="0.3">
      <c r="B15" s="33" t="s">
        <v>141</v>
      </c>
      <c r="C15" s="41">
        <f>C13/(12*'2.สมมติฐาน'!$C$31)</f>
        <v>0.76893939393939392</v>
      </c>
    </row>
    <row r="17" spans="2:5" ht="39.75" customHeight="1" x14ac:dyDescent="0.3">
      <c r="B17" s="5" t="s">
        <v>142</v>
      </c>
      <c r="C17" s="5"/>
      <c r="D17" s="5"/>
      <c r="E17" s="5"/>
    </row>
  </sheetData>
  <mergeCells count="6">
    <mergeCell ref="B17:E17"/>
    <mergeCell ref="D7:E7"/>
    <mergeCell ref="D8:E8"/>
    <mergeCell ref="D9:E9"/>
    <mergeCell ref="D10:E10"/>
    <mergeCell ref="D11:E1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8"/>
  <sheetViews>
    <sheetView showGridLines="0" zoomScale="110" zoomScaleNormal="110" workbookViewId="0">
      <selection activeCell="E21" sqref="E21"/>
    </sheetView>
  </sheetViews>
  <sheetFormatPr defaultColWidth="8.6640625" defaultRowHeight="14.4" x14ac:dyDescent="0.3"/>
  <cols>
    <col min="1" max="1" width="3" customWidth="1"/>
    <col min="2" max="2" width="16" customWidth="1"/>
    <col min="3" max="5" width="18" customWidth="1"/>
    <col min="6" max="6" width="30" customWidth="1"/>
  </cols>
  <sheetData>
    <row r="1" spans="1:6" ht="20.399999999999999" x14ac:dyDescent="0.35">
      <c r="A1" s="10" t="s">
        <v>143</v>
      </c>
    </row>
    <row r="2" spans="1:6" x14ac:dyDescent="0.3">
      <c r="A2" s="11" t="s">
        <v>144</v>
      </c>
    </row>
    <row r="4" spans="1:6" x14ac:dyDescent="0.3">
      <c r="B4" s="31" t="s">
        <v>145</v>
      </c>
    </row>
    <row r="5" spans="1:6" x14ac:dyDescent="0.3">
      <c r="B5" s="13" t="s">
        <v>63</v>
      </c>
      <c r="C5" s="13" t="s">
        <v>146</v>
      </c>
      <c r="D5" s="13" t="s">
        <v>147</v>
      </c>
      <c r="E5" s="13" t="s">
        <v>148</v>
      </c>
      <c r="F5" s="13" t="s">
        <v>149</v>
      </c>
    </row>
    <row r="6" spans="1:6" x14ac:dyDescent="0.3">
      <c r="B6" s="42" t="s">
        <v>150</v>
      </c>
      <c r="C6" s="43">
        <v>0.14199999999999999</v>
      </c>
      <c r="D6" s="44">
        <v>0.15</v>
      </c>
      <c r="E6" s="45">
        <f>(C6-D6)*100</f>
        <v>-0.80000000000000071</v>
      </c>
      <c r="F6" s="46" t="s">
        <v>151</v>
      </c>
    </row>
    <row r="7" spans="1:6" x14ac:dyDescent="0.3">
      <c r="B7" s="42" t="s">
        <v>152</v>
      </c>
      <c r="C7" s="43">
        <v>0.16400000000000001</v>
      </c>
      <c r="D7" s="44">
        <v>0.14000000000000001</v>
      </c>
      <c r="E7" s="45">
        <f>(C7-D7)*100</f>
        <v>2.3999999999999995</v>
      </c>
      <c r="F7" s="46" t="s">
        <v>153</v>
      </c>
    </row>
    <row r="8" spans="1:6" x14ac:dyDescent="0.3">
      <c r="B8" s="42" t="s">
        <v>154</v>
      </c>
      <c r="C8" s="43">
        <v>0.189</v>
      </c>
      <c r="D8" s="44">
        <v>0.19400000000000001</v>
      </c>
      <c r="E8" s="45">
        <f>(C8-D8)*100</f>
        <v>-0.50000000000000044</v>
      </c>
      <c r="F8" s="46" t="s">
        <v>155</v>
      </c>
    </row>
    <row r="9" spans="1:6" x14ac:dyDescent="0.3">
      <c r="B9" s="47" t="s">
        <v>156</v>
      </c>
      <c r="C9" s="48">
        <f>AVERAGE(ABS(C6-D6)/D6,ABS(C7-D7)/D7,ABS(C8-D8)/D8)</f>
        <v>8.3511700212731146E-2</v>
      </c>
    </row>
    <row r="10" spans="1:6" x14ac:dyDescent="0.3">
      <c r="B10" s="47" t="s">
        <v>157</v>
      </c>
      <c r="C10" s="49">
        <f>SQRT(AVERAGE(E6^2,E7^2,E8^2))</f>
        <v>1.4888474289418194</v>
      </c>
    </row>
    <row r="12" spans="1:6" x14ac:dyDescent="0.3">
      <c r="B12" s="31" t="s">
        <v>158</v>
      </c>
    </row>
    <row r="13" spans="1:6" x14ac:dyDescent="0.3">
      <c r="B13" s="13" t="s">
        <v>159</v>
      </c>
      <c r="C13" s="13" t="s">
        <v>160</v>
      </c>
      <c r="D13" s="13" t="s">
        <v>161</v>
      </c>
      <c r="E13" s="13" t="s">
        <v>162</v>
      </c>
      <c r="F13" s="13" t="s">
        <v>163</v>
      </c>
    </row>
    <row r="14" spans="1:6" x14ac:dyDescent="0.3">
      <c r="B14" s="18" t="s">
        <v>164</v>
      </c>
      <c r="C14" s="50">
        <v>130</v>
      </c>
      <c r="D14" s="51">
        <v>130</v>
      </c>
      <c r="E14" s="43">
        <f>ABS(D14-C14)/C14</f>
        <v>0</v>
      </c>
      <c r="F14" s="52" t="s">
        <v>165</v>
      </c>
    </row>
    <row r="16" spans="1:6" ht="15" customHeight="1" x14ac:dyDescent="0.3">
      <c r="B16" s="2" t="s">
        <v>166</v>
      </c>
      <c r="C16" s="2"/>
      <c r="D16" s="2"/>
      <c r="E16" s="2"/>
      <c r="F16" s="2"/>
    </row>
    <row r="17" spans="2:6" x14ac:dyDescent="0.3">
      <c r="B17" s="2"/>
      <c r="C17" s="2"/>
      <c r="D17" s="2"/>
      <c r="E17" s="2"/>
      <c r="F17" s="2"/>
    </row>
    <row r="18" spans="2:6" x14ac:dyDescent="0.3">
      <c r="B18" s="2"/>
      <c r="C18" s="2"/>
      <c r="D18" s="2"/>
      <c r="E18" s="2"/>
      <c r="F18" s="2"/>
    </row>
  </sheetData>
  <mergeCells count="1">
    <mergeCell ref="B16:F18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3"/>
  <sheetViews>
    <sheetView showGridLines="0" topLeftCell="A7" zoomScale="110" zoomScaleNormal="110" workbookViewId="0">
      <selection activeCell="G11" sqref="G11"/>
    </sheetView>
  </sheetViews>
  <sheetFormatPr defaultColWidth="8.6640625" defaultRowHeight="14.4" x14ac:dyDescent="0.3"/>
  <cols>
    <col min="1" max="1" width="3" customWidth="1"/>
    <col min="2" max="2" width="26" customWidth="1"/>
    <col min="3" max="4" width="42" customWidth="1"/>
  </cols>
  <sheetData>
    <row r="1" spans="1:4" ht="20.399999999999999" x14ac:dyDescent="0.35">
      <c r="A1" s="10" t="s">
        <v>167</v>
      </c>
    </row>
    <row r="2" spans="1:4" x14ac:dyDescent="0.3">
      <c r="A2" s="11" t="s">
        <v>168</v>
      </c>
    </row>
    <row r="4" spans="1:4" x14ac:dyDescent="0.3">
      <c r="B4" s="13" t="s">
        <v>169</v>
      </c>
      <c r="C4" s="13" t="s">
        <v>170</v>
      </c>
      <c r="D4" s="13" t="s">
        <v>171</v>
      </c>
    </row>
    <row r="5" spans="1:4" ht="45.75" customHeight="1" x14ac:dyDescent="0.3">
      <c r="B5" s="53" t="s">
        <v>172</v>
      </c>
      <c r="C5" s="15" t="s">
        <v>202</v>
      </c>
      <c r="D5" s="54" t="s">
        <v>203</v>
      </c>
    </row>
    <row r="6" spans="1:4" ht="45.75" customHeight="1" x14ac:dyDescent="0.3">
      <c r="B6" s="53" t="s">
        <v>173</v>
      </c>
      <c r="C6" s="15" t="s">
        <v>174</v>
      </c>
      <c r="D6" s="54" t="s">
        <v>175</v>
      </c>
    </row>
    <row r="7" spans="1:4" ht="45.75" customHeight="1" x14ac:dyDescent="0.3">
      <c r="B7" s="53" t="s">
        <v>176</v>
      </c>
      <c r="C7" s="15" t="s">
        <v>177</v>
      </c>
      <c r="D7" s="54" t="s">
        <v>178</v>
      </c>
    </row>
    <row r="8" spans="1:4" ht="45.75" customHeight="1" x14ac:dyDescent="0.3">
      <c r="B8" s="53" t="s">
        <v>179</v>
      </c>
      <c r="C8" s="15" t="s">
        <v>180</v>
      </c>
      <c r="D8" s="54" t="s">
        <v>181</v>
      </c>
    </row>
    <row r="9" spans="1:4" ht="45.75" customHeight="1" x14ac:dyDescent="0.3">
      <c r="B9" s="53" t="s">
        <v>182</v>
      </c>
      <c r="C9" s="15" t="s">
        <v>183</v>
      </c>
      <c r="D9" s="54" t="s">
        <v>184</v>
      </c>
    </row>
    <row r="10" spans="1:4" ht="45.75" customHeight="1" x14ac:dyDescent="0.3">
      <c r="B10" s="53" t="s">
        <v>185</v>
      </c>
      <c r="C10" s="15" t="s">
        <v>186</v>
      </c>
      <c r="D10" s="54" t="s">
        <v>187</v>
      </c>
    </row>
    <row r="11" spans="1:4" ht="45.75" customHeight="1" x14ac:dyDescent="0.3">
      <c r="B11" s="53" t="s">
        <v>188</v>
      </c>
      <c r="C11" s="15" t="s">
        <v>189</v>
      </c>
      <c r="D11" s="54" t="s">
        <v>190</v>
      </c>
    </row>
    <row r="13" spans="1:4" ht="43.5" customHeight="1" x14ac:dyDescent="0.3">
      <c r="B13" s="1" t="s">
        <v>204</v>
      </c>
      <c r="C13" s="1"/>
      <c r="D13" s="1"/>
    </row>
  </sheetData>
  <mergeCells count="1">
    <mergeCell ref="B13:D1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6</vt:i4>
      </vt:variant>
    </vt:vector>
  </HeadingPairs>
  <TitlesOfParts>
    <vt:vector size="6" baseType="lpstr">
      <vt:lpstr>1.ภาพรวม</vt:lpstr>
      <vt:lpstr>2.สมมติฐาน</vt:lpstr>
      <vt:lpstr>3.S-curve การยอมรับ</vt:lpstr>
      <vt:lpstr>4.Demand สถานี</vt:lpstr>
      <vt:lpstr>5.Validation</vt:lpstr>
      <vt:lpstr>6.เทียบ NREL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t. wanlop</cp:lastModifiedBy>
  <cp:revision>0</cp:revision>
  <dcterms:created xsi:type="dcterms:W3CDTF">2026-06-02T06:26:59Z</dcterms:created>
  <dcterms:modified xsi:type="dcterms:W3CDTF">2026-06-02T06:41:34Z</dcterms:modified>
  <dc:language>en-US</dc:language>
</cp:coreProperties>
</file>