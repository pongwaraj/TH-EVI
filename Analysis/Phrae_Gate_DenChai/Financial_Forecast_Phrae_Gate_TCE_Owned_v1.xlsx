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nnual Projection" sheetId="3" state="visible" r:id="rId3"/>
    <sheet xmlns:r="http://schemas.openxmlformats.org/officeDocument/2006/relationships" name="Scenario Comparison" sheetId="4" state="visible" r:id="rId4"/>
    <sheet xmlns:r="http://schemas.openxmlformats.org/officeDocument/2006/relationships" name="Breakeven" sheetId="5" state="visible" r:id="rId5"/>
    <sheet xmlns:r="http://schemas.openxmlformats.org/officeDocument/2006/relationships" name="Audit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sz val="10"/>
    </font>
    <font>
      <name val="Aptos Display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EBITDA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'Annual Projection'!G1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Projection'!$A$2:$A$16</f>
            </numRef>
          </cat>
          <val>
            <numRef>
              <f>'Annual Projection'!$G$2:$G$16</f>
            </numRef>
          </val>
        </ser>
        <ser>
          <idx val="1"/>
          <order val="1"/>
          <tx>
            <strRef>
              <f>'Annual Projection'!H1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Projection'!$A$2:$A$16</f>
            </numRef>
          </cat>
          <val>
            <numRef>
              <f>'Annual Projection'!$H$2:$H$16</f>
            </numRef>
          </val>
        </ser>
        <ser>
          <idx val="2"/>
          <order val="2"/>
          <tx>
            <strRef>
              <f>'Annual Projection'!I1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Projection'!$A$2:$A$16</f>
            </numRef>
          </cat>
          <val>
            <numRef>
              <f>'Annual Projection'!$I$2:$I$16</f>
            </numRef>
          </val>
        </ser>
        <ser>
          <idx val="3"/>
          <order val="3"/>
          <tx>
            <strRef>
              <f>'Annual Projection'!J1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Projection'!$A$2:$A$16</f>
            </numRef>
          </cat>
          <val>
            <numRef>
              <f>'Annual Projection'!$J$2:$J$16</f>
            </numRef>
          </val>
        </ser>
        <ser>
          <idx val="4"/>
          <order val="4"/>
          <tx>
            <strRef>
              <f>'Annual Projection'!K1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Projection'!$A$2:$A$16</f>
            </numRef>
          </cat>
          <val>
            <numRef>
              <f>'Annual Projection'!$K$2:$K$16</f>
            </numRef>
          </val>
        </ser>
        <ser>
          <idx val="5"/>
          <order val="5"/>
          <tx>
            <strRef>
              <f>'Annual Projection'!L1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Projection'!$A$2:$A$16</f>
            </numRef>
          </cat>
          <val>
            <numRef>
              <f>'Annual Projection'!$L$2:$L$16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THB/year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Site</t>
        </is>
      </c>
      <c r="B2" s="2" t="inlineStr">
        <is>
          <t>Phrae Gate Door to Northern</t>
        </is>
      </c>
      <c r="C2" s="2" t="inlineStr">
        <is>
          <t>X368+7R3, Den Chai, Den Chai District, Phrae 54110</t>
        </is>
      </c>
    </row>
    <row r="3">
      <c r="A3" s="2" t="inlineStr">
        <is>
          <t>Business model</t>
        </is>
      </c>
      <c r="B3" s="2" t="inlineStr">
        <is>
          <t>TCE-owned</t>
        </is>
      </c>
      <c r="C3" s="2" t="inlineStr">
        <is>
          <t>TCE invests/operates; site share assumed</t>
        </is>
      </c>
    </row>
    <row r="4">
      <c r="A4" s="2" t="inlineStr">
        <is>
          <t>Phase 1 hardware</t>
        </is>
      </c>
      <c r="B4" s="2" t="inlineStr">
        <is>
          <t>INT-S-2-180 / 2 ports</t>
        </is>
      </c>
      <c r="C4" s="2" t="inlineStr">
        <is>
          <t>Expansion-ready 180 kW class</t>
        </is>
      </c>
    </row>
    <row r="5">
      <c r="A5" s="2" t="inlineStr">
        <is>
          <t>Total CAPEX used</t>
        </is>
      </c>
      <c r="B5" s="2" t="n">
        <v>2271465</v>
      </c>
      <c r="C5" s="2" t="inlineStr">
        <is>
          <t>Package + 5% contingency</t>
        </is>
      </c>
    </row>
    <row r="6">
      <c r="A6" s="2" t="inlineStr">
        <is>
          <t>Y1 cars/day</t>
        </is>
      </c>
      <c r="B6" s="2" t="n">
        <v>13.5</v>
      </c>
      <c r="C6" s="2" t="inlineStr">
        <is>
          <t>Realistic case</t>
        </is>
      </c>
    </row>
    <row r="7">
      <c r="A7" s="2" t="inlineStr">
        <is>
          <t>Y5 cars/day</t>
        </is>
      </c>
      <c r="B7" s="2" t="n">
        <v>21.3</v>
      </c>
      <c r="C7" s="2" t="n"/>
    </row>
    <row r="8">
      <c r="A8" s="2" t="inlineStr">
        <is>
          <t>Y10 cars/day</t>
        </is>
      </c>
      <c r="B8" s="2" t="n">
        <v>31.6</v>
      </c>
      <c r="C8" s="2" t="inlineStr">
        <is>
          <t>Upgrade review likely</t>
        </is>
      </c>
    </row>
    <row r="9">
      <c r="A9" s="2" t="inlineStr">
        <is>
          <t>Y15 cars/day</t>
        </is>
      </c>
      <c r="B9" s="2" t="n">
        <v>42.4</v>
      </c>
      <c r="C9" s="2" t="n"/>
    </row>
    <row r="10">
      <c r="A10" s="2" t="inlineStr">
        <is>
          <t>Y1 gross revenue</t>
        </is>
      </c>
      <c r="B10" s="2" t="n">
        <v>1034775</v>
      </c>
      <c r="C10" s="2" t="inlineStr">
        <is>
          <t>THB/year</t>
        </is>
      </c>
    </row>
    <row r="11">
      <c r="A11" s="2" t="inlineStr">
        <is>
          <t>Y10 gross revenue</t>
        </is>
      </c>
      <c r="B11" s="2" t="n">
        <v>2769451</v>
      </c>
      <c r="C11" s="2" t="inlineStr">
        <is>
          <t>THB/year</t>
        </is>
      </c>
    </row>
    <row r="12">
      <c r="A12" s="2" t="inlineStr">
        <is>
          <t>Y1 EBITDA</t>
        </is>
      </c>
      <c r="B12" s="2" t="n">
        <v>136229</v>
      </c>
      <c r="C12" s="2" t="inlineStr">
        <is>
          <t>Pre-tax cash EBITDA</t>
        </is>
      </c>
    </row>
    <row r="13">
      <c r="A13" s="2" t="inlineStr">
        <is>
          <t>Y10 EBITDA</t>
        </is>
      </c>
      <c r="B13" s="2" t="n">
        <v>478643</v>
      </c>
      <c r="C13" s="2" t="inlineStr">
        <is>
          <t>Pre-tax cash EBITDA</t>
        </is>
      </c>
    </row>
    <row r="14">
      <c r="A14" s="2" t="inlineStr">
        <is>
          <t>Simple payback</t>
        </is>
      </c>
      <c r="B14" s="2" t="n">
        <v>8.19</v>
      </c>
      <c r="C14" s="2" t="inlineStr">
        <is>
          <t>Years</t>
        </is>
      </c>
    </row>
    <row r="15">
      <c r="A15" s="2" t="inlineStr">
        <is>
          <t>Project IRR</t>
        </is>
      </c>
      <c r="B15" s="2" t="n">
        <v>0.1165</v>
      </c>
      <c r="C15" s="2" t="inlineStr">
        <is>
          <t>Pre-tax</t>
        </is>
      </c>
    </row>
    <row r="16">
      <c r="A16" s="2" t="inlineStr">
        <is>
          <t>Project NPV @ 8%</t>
        </is>
      </c>
      <c r="B16" s="2" t="n">
        <v>706783</v>
      </c>
      <c r="C16" s="2" t="inlineStr">
        <is>
          <t>THB</t>
        </is>
      </c>
    </row>
    <row r="17">
      <c r="A17" s="2" t="inlineStr">
        <is>
          <t>Investment view</t>
        </is>
      </c>
      <c r="B17" s="2" t="inlineStr">
        <is>
          <t>Proceed only to validation</t>
        </is>
      </c>
      <c r="C17" s="2" t="inlineStr">
        <is>
          <t>Option-value gateway site, not automatic build approval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3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Demand case</t>
        </is>
      </c>
      <c r="B2" s="2" t="inlineStr">
        <is>
          <t>Realistic TCE-owned</t>
        </is>
      </c>
      <c r="C2" s="2" t="inlineStr">
        <is>
          <t>Primary financial case</t>
        </is>
      </c>
    </row>
    <row r="3">
      <c r="A3" s="2" t="inlineStr">
        <is>
          <t>Phase 1 ports</t>
        </is>
      </c>
      <c r="B3" s="2" t="n">
        <v>2</v>
      </c>
      <c r="C3" s="2" t="inlineStr">
        <is>
          <t>Expansion-ready</t>
        </is>
      </c>
    </row>
    <row r="4">
      <c r="A4" s="2" t="inlineStr">
        <is>
          <t>Y1 realistic cars/day</t>
        </is>
      </c>
      <c r="B4" s="2" t="n">
        <v>13.5</v>
      </c>
      <c r="C4" s="2" t="inlineStr">
        <is>
          <t>Preliminary model</t>
        </is>
      </c>
    </row>
    <row r="5">
      <c r="A5" s="2" t="inlineStr">
        <is>
          <t>kWh/session</t>
        </is>
      </c>
      <c r="B5" s="2" t="n">
        <v>28</v>
      </c>
      <c r="C5" s="2" t="inlineStr">
        <is>
          <t>Northern highway corridor profile</t>
        </is>
      </c>
    </row>
    <row r="6">
      <c r="A6" s="2" t="inlineStr">
        <is>
          <t>Tariff THB/kWh</t>
        </is>
      </c>
      <c r="B6" s="2" t="n">
        <v>7.5</v>
      </c>
      <c r="C6" s="2" t="inlineStr">
        <is>
          <t>Y1</t>
        </is>
      </c>
    </row>
    <row r="7">
      <c r="A7" s="2" t="inlineStr">
        <is>
          <t>Tariff escalation</t>
        </is>
      </c>
      <c r="B7" s="2" t="n">
        <v>0.015</v>
      </c>
      <c r="C7" s="2" t="inlineStr">
        <is>
          <t>Annual</t>
        </is>
      </c>
    </row>
    <row r="8">
      <c r="A8" s="2" t="inlineStr">
        <is>
          <t>Electricity cost Y1 THB/kWh</t>
        </is>
      </c>
      <c r="B8" s="2" t="n">
        <v>4.5</v>
      </c>
      <c r="C8" s="2" t="inlineStr">
        <is>
          <t>PEA planning assumption</t>
        </is>
      </c>
    </row>
    <row r="9">
      <c r="A9" s="2" t="inlineStr">
        <is>
          <t>Electricity escalation</t>
        </is>
      </c>
      <c r="B9" s="2" t="n">
        <v>0.025</v>
      </c>
      <c r="C9" s="2" t="inlineStr">
        <is>
          <t>Annual</t>
        </is>
      </c>
    </row>
    <row r="10">
      <c r="A10" s="2" t="inlineStr">
        <is>
          <t>Site revenue share</t>
        </is>
      </c>
      <c r="B10" s="2" t="n">
        <v>0.08</v>
      </c>
      <c r="C10" s="2" t="inlineStr">
        <is>
          <t>Assumed until commercial term confirmed</t>
        </is>
      </c>
    </row>
    <row r="11">
      <c r="A11" s="2" t="inlineStr">
        <is>
          <t>CAPEX package</t>
        </is>
      </c>
      <c r="B11" s="2" t="n">
        <v>2163300</v>
      </c>
      <c r="C11" s="2" t="inlineStr">
        <is>
          <t>SINEXEL INT-S-2-180 customer CAPEX</t>
        </is>
      </c>
    </row>
    <row r="12">
      <c r="A12" s="2" t="inlineStr">
        <is>
          <t>Contingency</t>
        </is>
      </c>
      <c r="B12" s="2" t="n">
        <v>108165</v>
      </c>
      <c r="C12" s="2" t="inlineStr">
        <is>
          <t>5%</t>
        </is>
      </c>
    </row>
    <row r="13">
      <c r="A13" s="2" t="inlineStr">
        <is>
          <t>Total CAPEX used</t>
        </is>
      </c>
      <c r="B13" s="2" t="n">
        <v>2271465</v>
      </c>
      <c r="C13" s="2" t="inlineStr">
        <is>
          <t>Financial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8" customWidth="1" min="8" max="8"/>
    <col width="12" customWidth="1" min="9" max="9"/>
    <col width="13" customWidth="1" min="10" max="10"/>
    <col width="25" customWidth="1" min="11" max="11"/>
    <col width="12" customWidth="1" min="12" max="12"/>
    <col width="14" customWidth="1" min="13" max="13"/>
    <col width="12" customWidth="1" min="14" max="14"/>
    <col width="19" customWidth="1" min="15" max="15"/>
    <col width="22" customWidth="1" min="16" max="16"/>
  </cols>
  <sheetData>
    <row r="1">
      <c r="A1" s="1" t="inlineStr">
        <is>
          <t>Year</t>
        </is>
      </c>
      <c r="B1" s="1" t="inlineStr">
        <is>
          <t>Year No.</t>
        </is>
      </c>
      <c r="C1" s="1" t="inlineStr">
        <is>
          <t>Cars/day</t>
        </is>
      </c>
      <c r="D1" s="1" t="inlineStr">
        <is>
          <t>kWh/day</t>
        </is>
      </c>
      <c r="E1" s="1" t="inlineStr">
        <is>
          <t>Annual kWh</t>
        </is>
      </c>
      <c r="F1" s="1" t="inlineStr">
        <is>
          <t>Tariff</t>
        </is>
      </c>
      <c r="G1" s="1" t="inlineStr">
        <is>
          <t>Gross revenue</t>
        </is>
      </c>
      <c r="H1" s="1" t="inlineStr">
        <is>
          <t>Electricity cost</t>
        </is>
      </c>
      <c r="I1" s="1" t="inlineStr">
        <is>
          <t>Site share</t>
        </is>
      </c>
      <c r="J1" s="1" t="inlineStr">
        <is>
          <t>Maintenance</t>
        </is>
      </c>
      <c r="K1" s="1" t="inlineStr">
        <is>
          <t>Fixed/network/insurance</t>
        </is>
      </c>
      <c r="L1" s="1" t="inlineStr">
        <is>
          <t>EBITDA</t>
        </is>
      </c>
      <c r="M1" s="1" t="inlineStr">
        <is>
          <t>Depreciation</t>
        </is>
      </c>
      <c r="N1" s="1" t="inlineStr">
        <is>
          <t>EBIT</t>
        </is>
      </c>
      <c r="O1" s="1" t="inlineStr">
        <is>
          <t>Project cash flow</t>
        </is>
      </c>
      <c r="P1" s="1" t="inlineStr">
        <is>
          <t>Cumulative cash flow</t>
        </is>
      </c>
    </row>
    <row r="2">
      <c r="A2" s="2" t="n">
        <v>2026</v>
      </c>
      <c r="B2" s="2" t="n">
        <v>1</v>
      </c>
      <c r="C2" s="2" t="n">
        <v>13.5</v>
      </c>
      <c r="D2" s="2" t="n">
        <v>378</v>
      </c>
      <c r="E2" s="2" t="n">
        <v>137970</v>
      </c>
      <c r="F2" s="2" t="n">
        <v>7.5</v>
      </c>
      <c r="G2" s="3" t="n">
        <v>1034775</v>
      </c>
      <c r="H2" s="3" t="n">
        <v>620865</v>
      </c>
      <c r="I2" s="3" t="n">
        <v>82782</v>
      </c>
      <c r="J2" s="3" t="n">
        <v>64899</v>
      </c>
      <c r="K2" s="3" t="n">
        <v>130000</v>
      </c>
      <c r="L2" s="3" t="n">
        <v>136229</v>
      </c>
      <c r="M2" s="3" t="n">
        <v>227146</v>
      </c>
      <c r="N2" s="3" t="n">
        <v>-90918</v>
      </c>
      <c r="O2" s="3" t="n">
        <v>136229</v>
      </c>
      <c r="P2" s="3" t="n">
        <v>-2135236</v>
      </c>
    </row>
    <row r="3">
      <c r="A3" s="2" t="n">
        <v>2027</v>
      </c>
      <c r="B3" s="2" t="n">
        <v>2</v>
      </c>
      <c r="C3" s="2" t="n">
        <v>15.4</v>
      </c>
      <c r="D3" s="2" t="n">
        <v>431.2</v>
      </c>
      <c r="E3" s="2" t="n">
        <v>157388</v>
      </c>
      <c r="F3" s="2" t="n">
        <v>7.61</v>
      </c>
      <c r="G3" s="3" t="n">
        <v>1198116</v>
      </c>
      <c r="H3" s="3" t="n">
        <v>725952</v>
      </c>
      <c r="I3" s="3" t="n">
        <v>95849</v>
      </c>
      <c r="J3" s="3" t="n">
        <v>66846</v>
      </c>
      <c r="K3" s="3" t="n">
        <v>133900</v>
      </c>
      <c r="L3" s="3" t="n">
        <v>175569</v>
      </c>
      <c r="M3" s="3" t="n">
        <v>227146</v>
      </c>
      <c r="N3" s="3" t="n">
        <v>-51578</v>
      </c>
      <c r="O3" s="3" t="n">
        <v>175569</v>
      </c>
      <c r="P3" s="3" t="n">
        <v>-1959667</v>
      </c>
    </row>
    <row r="4">
      <c r="A4" s="2" t="n">
        <v>2028</v>
      </c>
      <c r="B4" s="2" t="n">
        <v>3</v>
      </c>
      <c r="C4" s="2" t="n">
        <v>17.3</v>
      </c>
      <c r="D4" s="2" t="n">
        <v>484.4</v>
      </c>
      <c r="E4" s="2" t="n">
        <v>176806</v>
      </c>
      <c r="F4" s="2" t="n">
        <v>7.73</v>
      </c>
      <c r="G4" s="3" t="n">
        <v>1366125</v>
      </c>
      <c r="H4" s="3" t="n">
        <v>835906</v>
      </c>
      <c r="I4" s="3" t="n">
        <v>109290</v>
      </c>
      <c r="J4" s="3" t="n">
        <v>68851</v>
      </c>
      <c r="K4" s="3" t="n">
        <v>137917</v>
      </c>
      <c r="L4" s="3" t="n">
        <v>214161</v>
      </c>
      <c r="M4" s="3" t="n">
        <v>227146</v>
      </c>
      <c r="N4" s="3" t="n">
        <v>-12986</v>
      </c>
      <c r="O4" s="3" t="n">
        <v>214161</v>
      </c>
      <c r="P4" s="3" t="n">
        <v>-1745506</v>
      </c>
    </row>
    <row r="5">
      <c r="A5" s="2" t="n">
        <v>2029</v>
      </c>
      <c r="B5" s="2" t="n">
        <v>4</v>
      </c>
      <c r="C5" s="2" t="n">
        <v>19.3</v>
      </c>
      <c r="D5" s="2" t="n">
        <v>540.4</v>
      </c>
      <c r="E5" s="2" t="n">
        <v>197246</v>
      </c>
      <c r="F5" s="2" t="n">
        <v>7.84</v>
      </c>
      <c r="G5" s="3" t="n">
        <v>1546919</v>
      </c>
      <c r="H5" s="3" t="n">
        <v>955856</v>
      </c>
      <c r="I5" s="3" t="n">
        <v>123754</v>
      </c>
      <c r="J5" s="3" t="n">
        <v>70917</v>
      </c>
      <c r="K5" s="3" t="n">
        <v>142055</v>
      </c>
      <c r="L5" s="3" t="n">
        <v>254338</v>
      </c>
      <c r="M5" s="3" t="n">
        <v>227146</v>
      </c>
      <c r="N5" s="3" t="n">
        <v>27192</v>
      </c>
      <c r="O5" s="3" t="n">
        <v>254338</v>
      </c>
      <c r="P5" s="3" t="n">
        <v>-1491168</v>
      </c>
    </row>
    <row r="6">
      <c r="A6" s="2" t="n">
        <v>2030</v>
      </c>
      <c r="B6" s="2" t="n">
        <v>5</v>
      </c>
      <c r="C6" s="2" t="n">
        <v>21.3</v>
      </c>
      <c r="D6" s="2" t="n">
        <v>596.4</v>
      </c>
      <c r="E6" s="2" t="n">
        <v>217686</v>
      </c>
      <c r="F6" s="2" t="n">
        <v>7.96</v>
      </c>
      <c r="G6" s="3" t="n">
        <v>1732830</v>
      </c>
      <c r="H6" s="3" t="n">
        <v>1081281</v>
      </c>
      <c r="I6" s="3" t="n">
        <v>138626</v>
      </c>
      <c r="J6" s="3" t="n">
        <v>73044</v>
      </c>
      <c r="K6" s="3" t="n">
        <v>146316</v>
      </c>
      <c r="L6" s="3" t="n">
        <v>293562</v>
      </c>
      <c r="M6" s="3" t="n">
        <v>227146</v>
      </c>
      <c r="N6" s="3" t="n">
        <v>66416</v>
      </c>
      <c r="O6" s="3" t="n">
        <v>293562</v>
      </c>
      <c r="P6" s="3" t="n">
        <v>-1197606</v>
      </c>
    </row>
    <row r="7">
      <c r="A7" s="2" t="n">
        <v>2031</v>
      </c>
      <c r="B7" s="2" t="n">
        <v>6</v>
      </c>
      <c r="C7" s="2" t="n">
        <v>23.4</v>
      </c>
      <c r="D7" s="2" t="n">
        <v>655.2</v>
      </c>
      <c r="E7" s="2" t="n">
        <v>239148</v>
      </c>
      <c r="F7" s="2" t="n">
        <v>8.08</v>
      </c>
      <c r="G7" s="3" t="n">
        <v>1932227</v>
      </c>
      <c r="H7" s="3" t="n">
        <v>1217583</v>
      </c>
      <c r="I7" s="3" t="n">
        <v>154578</v>
      </c>
      <c r="J7" s="3" t="n">
        <v>75236</v>
      </c>
      <c r="K7" s="3" t="n">
        <v>150706</v>
      </c>
      <c r="L7" s="3" t="n">
        <v>334125</v>
      </c>
      <c r="M7" s="3" t="n">
        <v>227146</v>
      </c>
      <c r="N7" s="3" t="n">
        <v>106978</v>
      </c>
      <c r="O7" s="3" t="n">
        <v>334125</v>
      </c>
      <c r="P7" s="3" t="n">
        <v>-863481</v>
      </c>
    </row>
    <row r="8">
      <c r="A8" s="2" t="n">
        <v>2032</v>
      </c>
      <c r="B8" s="2" t="n">
        <v>7</v>
      </c>
      <c r="C8" s="2" t="n">
        <v>25.4</v>
      </c>
      <c r="D8" s="2" t="n">
        <v>711.2</v>
      </c>
      <c r="E8" s="2" t="n">
        <v>259588</v>
      </c>
      <c r="F8" s="2" t="n">
        <v>8.199999999999999</v>
      </c>
      <c r="G8" s="3" t="n">
        <v>2128836</v>
      </c>
      <c r="H8" s="3" t="n">
        <v>1354691</v>
      </c>
      <c r="I8" s="3" t="n">
        <v>170307</v>
      </c>
      <c r="J8" s="3" t="n">
        <v>77493</v>
      </c>
      <c r="K8" s="3" t="n">
        <v>155227</v>
      </c>
      <c r="L8" s="3" t="n">
        <v>371118</v>
      </c>
      <c r="M8" s="3" t="n">
        <v>227146</v>
      </c>
      <c r="N8" s="3" t="n">
        <v>143971</v>
      </c>
      <c r="O8" s="3" t="n">
        <v>371118</v>
      </c>
      <c r="P8" s="3" t="n">
        <v>-492363</v>
      </c>
    </row>
    <row r="9">
      <c r="A9" s="2" t="n">
        <v>2033</v>
      </c>
      <c r="B9" s="2" t="n">
        <v>8</v>
      </c>
      <c r="C9" s="2" t="n">
        <v>27.4</v>
      </c>
      <c r="D9" s="2" t="n">
        <v>767.2</v>
      </c>
      <c r="E9" s="2" t="n">
        <v>280028</v>
      </c>
      <c r="F9" s="2" t="n">
        <v>8.32</v>
      </c>
      <c r="G9" s="3" t="n">
        <v>2330907</v>
      </c>
      <c r="H9" s="3" t="n">
        <v>1497894</v>
      </c>
      <c r="I9" s="3" t="n">
        <v>186473</v>
      </c>
      <c r="J9" s="3" t="n">
        <v>79818</v>
      </c>
      <c r="K9" s="3" t="n">
        <v>159884</v>
      </c>
      <c r="L9" s="3" t="n">
        <v>406840</v>
      </c>
      <c r="M9" s="3" t="n">
        <v>227146</v>
      </c>
      <c r="N9" s="3" t="n">
        <v>179693</v>
      </c>
      <c r="O9" s="3" t="n">
        <v>406840</v>
      </c>
      <c r="P9" s="3" t="n">
        <v>-85523</v>
      </c>
    </row>
    <row r="10">
      <c r="A10" s="2" t="n">
        <v>2034</v>
      </c>
      <c r="B10" s="2" t="n">
        <v>9</v>
      </c>
      <c r="C10" s="2" t="n">
        <v>29.4</v>
      </c>
      <c r="D10" s="2" t="n">
        <v>823.2</v>
      </c>
      <c r="E10" s="2" t="n">
        <v>300468</v>
      </c>
      <c r="F10" s="2" t="n">
        <v>8.449999999999999</v>
      </c>
      <c r="G10" s="3" t="n">
        <v>2538562</v>
      </c>
      <c r="H10" s="3" t="n">
        <v>1647410</v>
      </c>
      <c r="I10" s="3" t="n">
        <v>203085</v>
      </c>
      <c r="J10" s="3" t="n">
        <v>82212</v>
      </c>
      <c r="K10" s="3" t="n">
        <v>164680</v>
      </c>
      <c r="L10" s="3" t="n">
        <v>441175</v>
      </c>
      <c r="M10" s="3" t="n">
        <v>227146</v>
      </c>
      <c r="N10" s="3" t="n">
        <v>214029</v>
      </c>
      <c r="O10" s="3" t="n">
        <v>441175</v>
      </c>
      <c r="P10" s="3" t="n">
        <v>355652</v>
      </c>
    </row>
    <row r="11">
      <c r="A11" s="2" t="n">
        <v>2035</v>
      </c>
      <c r="B11" s="2" t="n">
        <v>10</v>
      </c>
      <c r="C11" s="2" t="n">
        <v>31.6</v>
      </c>
      <c r="D11" s="2" t="n">
        <v>884.8</v>
      </c>
      <c r="E11" s="2" t="n">
        <v>322952</v>
      </c>
      <c r="F11" s="2" t="n">
        <v>8.58</v>
      </c>
      <c r="G11" s="3" t="n">
        <v>2769451</v>
      </c>
      <c r="H11" s="3" t="n">
        <v>1814953</v>
      </c>
      <c r="I11" s="3" t="n">
        <v>221556</v>
      </c>
      <c r="J11" s="3" t="n">
        <v>84678</v>
      </c>
      <c r="K11" s="3" t="n">
        <v>169621</v>
      </c>
      <c r="L11" s="3" t="n">
        <v>478643</v>
      </c>
      <c r="M11" s="3" t="n">
        <v>227146</v>
      </c>
      <c r="N11" s="3" t="n">
        <v>251496</v>
      </c>
      <c r="O11" s="3" t="n">
        <v>478643</v>
      </c>
      <c r="P11" s="3" t="n">
        <v>834295</v>
      </c>
    </row>
    <row r="12">
      <c r="A12" s="2" t="n">
        <v>2036</v>
      </c>
      <c r="B12" s="2" t="n">
        <v>11</v>
      </c>
      <c r="C12" s="2" t="n">
        <v>33.8</v>
      </c>
      <c r="D12" s="2" t="n">
        <v>946.4</v>
      </c>
      <c r="E12" s="2" t="n">
        <v>345436</v>
      </c>
      <c r="F12" s="2" t="n">
        <v>8.699999999999999</v>
      </c>
      <c r="G12" s="3" t="n">
        <v>3006694</v>
      </c>
      <c r="H12" s="3" t="n">
        <v>1989843</v>
      </c>
      <c r="I12" s="3" t="n">
        <v>240536</v>
      </c>
      <c r="J12" s="3" t="n">
        <v>87219</v>
      </c>
      <c r="K12" s="3" t="n">
        <v>174709</v>
      </c>
      <c r="L12" s="3" t="n">
        <v>514388</v>
      </c>
      <c r="M12" s="3" t="n">
        <v>0</v>
      </c>
      <c r="N12" s="3" t="n">
        <v>514388</v>
      </c>
      <c r="O12" s="3" t="n">
        <v>514388</v>
      </c>
      <c r="P12" s="3" t="n">
        <v>1348683</v>
      </c>
    </row>
    <row r="13">
      <c r="A13" s="2" t="n">
        <v>2037</v>
      </c>
      <c r="B13" s="2" t="n">
        <v>12</v>
      </c>
      <c r="C13" s="2" t="n">
        <v>35.9</v>
      </c>
      <c r="D13" s="2" t="n">
        <v>1005.2</v>
      </c>
      <c r="E13" s="2" t="n">
        <v>366898</v>
      </c>
      <c r="F13" s="2" t="n">
        <v>8.83</v>
      </c>
      <c r="G13" s="3" t="n">
        <v>3241403</v>
      </c>
      <c r="H13" s="3" t="n">
        <v>2166309</v>
      </c>
      <c r="I13" s="3" t="n">
        <v>259312</v>
      </c>
      <c r="J13" s="3" t="n">
        <v>89835</v>
      </c>
      <c r="K13" s="3" t="n">
        <v>179950</v>
      </c>
      <c r="L13" s="3" t="n">
        <v>545996</v>
      </c>
      <c r="M13" s="3" t="n">
        <v>0</v>
      </c>
      <c r="N13" s="3" t="n">
        <v>545996</v>
      </c>
      <c r="O13" s="3" t="n">
        <v>545996</v>
      </c>
      <c r="P13" s="3" t="n">
        <v>1894679</v>
      </c>
    </row>
    <row r="14">
      <c r="A14" s="2" t="n">
        <v>2038</v>
      </c>
      <c r="B14" s="2" t="n">
        <v>13</v>
      </c>
      <c r="C14" s="2" t="n">
        <v>38.1</v>
      </c>
      <c r="D14" s="2" t="n">
        <v>1066.8</v>
      </c>
      <c r="E14" s="2" t="n">
        <v>389382</v>
      </c>
      <c r="F14" s="2" t="n">
        <v>8.970000000000001</v>
      </c>
      <c r="G14" s="3" t="n">
        <v>3491641</v>
      </c>
      <c r="H14" s="3" t="n">
        <v>2356540</v>
      </c>
      <c r="I14" s="3" t="n">
        <v>279331</v>
      </c>
      <c r="J14" s="3" t="n">
        <v>92530</v>
      </c>
      <c r="K14" s="3" t="n">
        <v>185349</v>
      </c>
      <c r="L14" s="3" t="n">
        <v>577891</v>
      </c>
      <c r="M14" s="3" t="n">
        <v>0</v>
      </c>
      <c r="N14" s="3" t="n">
        <v>577891</v>
      </c>
      <c r="O14" s="3" t="n">
        <v>577891</v>
      </c>
      <c r="P14" s="3" t="n">
        <v>2472570</v>
      </c>
    </row>
    <row r="15">
      <c r="A15" s="2" t="n">
        <v>2039</v>
      </c>
      <c r="B15" s="2" t="n">
        <v>14</v>
      </c>
      <c r="C15" s="2" t="n">
        <v>40.2</v>
      </c>
      <c r="D15" s="2" t="n">
        <v>1125.6</v>
      </c>
      <c r="E15" s="2" t="n">
        <v>410844</v>
      </c>
      <c r="F15" s="2" t="n">
        <v>9.1</v>
      </c>
      <c r="G15" s="3" t="n">
        <v>3739356</v>
      </c>
      <c r="H15" s="3" t="n">
        <v>2548588</v>
      </c>
      <c r="I15" s="3" t="n">
        <v>299148</v>
      </c>
      <c r="J15" s="3" t="n">
        <v>95306</v>
      </c>
      <c r="K15" s="3" t="n">
        <v>190909</v>
      </c>
      <c r="L15" s="3" t="n">
        <v>605403</v>
      </c>
      <c r="M15" s="3" t="n">
        <v>0</v>
      </c>
      <c r="N15" s="3" t="n">
        <v>605403</v>
      </c>
      <c r="O15" s="3" t="n">
        <v>605403</v>
      </c>
      <c r="P15" s="3" t="n">
        <v>3077973</v>
      </c>
    </row>
    <row r="16">
      <c r="A16" s="2" t="n">
        <v>2040</v>
      </c>
      <c r="B16" s="2" t="n">
        <v>15</v>
      </c>
      <c r="C16" s="2" t="n">
        <v>42.4</v>
      </c>
      <c r="D16" s="2" t="n">
        <v>1187.2</v>
      </c>
      <c r="E16" s="2" t="n">
        <v>433328</v>
      </c>
      <c r="F16" s="2" t="n">
        <v>9.24</v>
      </c>
      <c r="G16" s="3" t="n">
        <v>4003157</v>
      </c>
      <c r="H16" s="3" t="n">
        <v>2755265</v>
      </c>
      <c r="I16" s="3" t="n">
        <v>320253</v>
      </c>
      <c r="J16" s="3" t="n">
        <v>98166</v>
      </c>
      <c r="K16" s="3" t="n">
        <v>196637</v>
      </c>
      <c r="L16" s="3" t="n">
        <v>632837</v>
      </c>
      <c r="M16" s="3" t="n">
        <v>0</v>
      </c>
      <c r="N16" s="3" t="n">
        <v>632837</v>
      </c>
      <c r="O16" s="3" t="n">
        <v>632837</v>
      </c>
      <c r="P16" s="3" t="n">
        <v>3710810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18" customWidth="1" min="5" max="5"/>
    <col width="19" customWidth="1" min="6" max="6"/>
    <col width="13" customWidth="1" min="7" max="7"/>
  </cols>
  <sheetData>
    <row r="1">
      <c r="A1" s="1" t="inlineStr">
        <is>
          <t>Scenario</t>
        </is>
      </c>
      <c r="B1" s="1" t="inlineStr">
        <is>
          <t>Y1 cars/day</t>
        </is>
      </c>
      <c r="C1" s="1" t="inlineStr">
        <is>
          <t>Y10 cars/day</t>
        </is>
      </c>
      <c r="D1" s="1" t="inlineStr">
        <is>
          <t>Y15 cars/day</t>
        </is>
      </c>
      <c r="E1" s="1" t="inlineStr">
        <is>
          <t>Y1 gross revenue</t>
        </is>
      </c>
      <c r="F1" s="1" t="inlineStr">
        <is>
          <t>Y10 gross revenue</t>
        </is>
      </c>
      <c r="G1" s="1" t="inlineStr">
        <is>
          <t>Use</t>
        </is>
      </c>
    </row>
    <row r="2">
      <c r="A2" s="2" t="inlineStr">
        <is>
          <t>Conservative</t>
        </is>
      </c>
      <c r="B2" s="2" t="n">
        <v>8</v>
      </c>
      <c r="C2" s="2" t="n">
        <v>18.7</v>
      </c>
      <c r="D2" s="2" t="n">
        <v>25.1</v>
      </c>
      <c r="E2" s="2" t="n">
        <v>613200</v>
      </c>
      <c r="F2" s="2" t="n">
        <v>1433355</v>
      </c>
      <c r="G2" s="2" t="inlineStr">
        <is>
          <t>Sensitivity</t>
        </is>
      </c>
    </row>
    <row r="3">
      <c r="A3" s="2" t="inlineStr">
        <is>
          <t>Realistic</t>
        </is>
      </c>
      <c r="B3" s="2" t="n">
        <v>13.5</v>
      </c>
      <c r="C3" s="2" t="n">
        <v>31.6</v>
      </c>
      <c r="D3" s="2" t="n">
        <v>42.4</v>
      </c>
      <c r="E3" s="2" t="n">
        <v>1034775</v>
      </c>
      <c r="F3" s="2" t="n">
        <v>2422140</v>
      </c>
      <c r="G3" s="2" t="inlineStr">
        <is>
          <t>Primary</t>
        </is>
      </c>
    </row>
    <row r="4">
      <c r="A4" s="2" t="inlineStr">
        <is>
          <t>Upside check</t>
        </is>
      </c>
      <c r="B4" s="2" t="n">
        <v>21</v>
      </c>
      <c r="C4" s="2" t="n">
        <v>49.1</v>
      </c>
      <c r="D4" s="2" t="n">
        <v>65</v>
      </c>
      <c r="E4" s="2" t="n">
        <v>1609650</v>
      </c>
      <c r="F4" s="2" t="n">
        <v>3763515</v>
      </c>
      <c r="G4" s="2" t="inlineStr">
        <is>
          <t>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2" customWidth="1" min="4" max="4"/>
  </cols>
  <sheetData>
    <row r="1">
      <c r="A1" s="1" t="inlineStr">
        <is>
          <t>Cars/day</t>
        </is>
      </c>
      <c r="B1" s="1" t="inlineStr">
        <is>
          <t>Gross revenue</t>
        </is>
      </c>
      <c r="C1" s="1" t="inlineStr">
        <is>
          <t>Y1 EBITDA</t>
        </is>
      </c>
      <c r="D1" s="1" t="inlineStr">
        <is>
          <t>Status</t>
        </is>
      </c>
    </row>
    <row r="2">
      <c r="A2" s="2" t="n">
        <v>8</v>
      </c>
      <c r="B2" s="2" t="n">
        <v>613200</v>
      </c>
      <c r="C2" s="2" t="n">
        <v>1325</v>
      </c>
      <c r="D2" s="2" t="inlineStr">
        <is>
          <t>Above cash breakeven</t>
        </is>
      </c>
    </row>
    <row r="3">
      <c r="A3" s="2" t="n">
        <v>10</v>
      </c>
      <c r="B3" s="2" t="n">
        <v>766500</v>
      </c>
      <c r="C3" s="2" t="n">
        <v>50381</v>
      </c>
      <c r="D3" s="2" t="inlineStr">
        <is>
          <t>Above cash breakeven</t>
        </is>
      </c>
    </row>
    <row r="4">
      <c r="A4" s="2" t="n">
        <v>12</v>
      </c>
      <c r="B4" s="2" t="n">
        <v>919800</v>
      </c>
      <c r="C4" s="2" t="n">
        <v>99437</v>
      </c>
      <c r="D4" s="2" t="inlineStr">
        <is>
          <t>Above cash breakeven</t>
        </is>
      </c>
    </row>
    <row r="5">
      <c r="A5" s="2" t="n">
        <v>13.5</v>
      </c>
      <c r="B5" s="2" t="n">
        <v>1034775</v>
      </c>
      <c r="C5" s="2" t="n">
        <v>136229</v>
      </c>
      <c r="D5" s="2" t="inlineStr">
        <is>
          <t>Above cash breakeven</t>
        </is>
      </c>
    </row>
    <row r="6">
      <c r="A6" s="2" t="n">
        <v>16</v>
      </c>
      <c r="B6" s="2" t="n">
        <v>1226400</v>
      </c>
      <c r="C6" s="2" t="n">
        <v>197549</v>
      </c>
      <c r="D6" s="2" t="inlineStr">
        <is>
          <t>Above cash breakeven</t>
        </is>
      </c>
    </row>
    <row r="7">
      <c r="A7" s="2" t="n">
        <v>18</v>
      </c>
      <c r="B7" s="2" t="n">
        <v>1379700</v>
      </c>
      <c r="C7" s="2" t="n">
        <v>246605</v>
      </c>
      <c r="D7" s="2" t="inlineStr">
        <is>
          <t>Above cash breakeven</t>
        </is>
      </c>
    </row>
    <row r="8">
      <c r="A8" s="2" t="n">
        <v>20</v>
      </c>
      <c r="B8" s="2" t="n">
        <v>1533000</v>
      </c>
      <c r="C8" s="2" t="n">
        <v>295661</v>
      </c>
      <c r="D8" s="2" t="inlineStr">
        <is>
          <t>Above cash breakeven</t>
        </is>
      </c>
    </row>
    <row r="9">
      <c r="A9" s="2" t="n">
        <v>24</v>
      </c>
      <c r="B9" s="2" t="n">
        <v>1839600</v>
      </c>
      <c r="C9" s="2" t="n">
        <v>393773</v>
      </c>
      <c r="D9" s="2" t="inlineStr">
        <is>
          <t>Above cash breakeven</t>
        </is>
      </c>
    </row>
    <row r="10">
      <c r="A10" s="2" t="n">
        <v>28</v>
      </c>
      <c r="B10" s="2" t="n">
        <v>2146200</v>
      </c>
      <c r="C10" s="2" t="n">
        <v>491885</v>
      </c>
      <c r="D10" s="2" t="inlineStr">
        <is>
          <t>Above cash breakeven</t>
        </is>
      </c>
    </row>
    <row r="11">
      <c r="A11" s="2" t="n">
        <v>32</v>
      </c>
      <c r="B11" s="2" t="n">
        <v>2452800</v>
      </c>
      <c r="C11" s="2" t="n">
        <v>589997</v>
      </c>
      <c r="D11" s="2" t="inlineStr">
        <is>
          <t>Above cash breakeven</t>
        </is>
      </c>
    </row>
    <row r="12">
      <c r="A12" s="2" t="n">
        <v>36</v>
      </c>
      <c r="B12" s="2" t="n">
        <v>2759400</v>
      </c>
      <c r="C12" s="2" t="n">
        <v>688109</v>
      </c>
      <c r="D12" s="2" t="inlineStr">
        <is>
          <t>Above cash breakeven</t>
        </is>
      </c>
    </row>
    <row r="13">
      <c r="A13" s="2" t="n">
        <v>40</v>
      </c>
      <c r="B13" s="2" t="n">
        <v>3066000</v>
      </c>
      <c r="C13" s="2" t="n">
        <v>786221</v>
      </c>
      <c r="D13" s="2" t="inlineStr">
        <is>
          <t>Above cash breakeven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Topic</t>
        </is>
      </c>
      <c r="B2" s="2" t="inlineStr">
        <is>
          <t>Note</t>
        </is>
      </c>
    </row>
    <row r="3">
      <c r="A3" s="2" t="inlineStr">
        <is>
          <t>Scope</t>
        </is>
      </c>
      <c r="B3" s="2" t="inlineStr">
        <is>
          <t>TCE-owned preliminary financial forecast for internal investment screening.</t>
        </is>
      </c>
    </row>
    <row r="4">
      <c r="A4" s="2" t="inlineStr">
        <is>
          <t>Excluded</t>
        </is>
      </c>
      <c r="B4" s="2" t="inlineStr">
        <is>
          <t>Corporate income tax, financing cost, VAT timing, demand charge, charger downtime, land acquisition, and Phase 2 upgrade CAPEX are not included.</t>
        </is>
      </c>
    </row>
    <row r="5">
      <c r="A5" s="2" t="inlineStr">
        <is>
          <t>Key dependency</t>
        </is>
      </c>
      <c r="B5" s="2" t="inlineStr">
        <is>
          <t>Exact site share, PEA transformer scope, civil works, and verified competitor kW can materially change the result.</t>
        </is>
      </c>
    </row>
    <row r="6">
      <c r="A6" s="2" t="inlineStr">
        <is>
          <t>Recommendation</t>
        </is>
      </c>
      <c r="B6" s="2" t="inlineStr">
        <is>
          <t>Start only after field validation confirms parking, grid capacity, road visibility, and no strong DC competitor in the immediate gateway.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2026-06-02T06:30:48Z</dcterms:created>
  <dcterms:modified xmlns:dcterms="http://purl.org/dc/terms/" xmlns:xsi="http://www.w3.org/2001/XMLSchema-instance" xsi:type="dcterms:W3CDTF">2026-06-02T06:30:48Z</dcterms:modified>
</cp:coreProperties>
</file>