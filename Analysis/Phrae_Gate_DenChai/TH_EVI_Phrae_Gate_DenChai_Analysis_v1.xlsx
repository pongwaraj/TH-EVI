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5Y Demand Forecast" sheetId="2" state="visible" r:id="rId2"/>
    <sheet xmlns:r="http://schemas.openxmlformats.org/officeDocument/2006/relationships" name="Scenario Chart Data" sheetId="3" state="visible" r:id="rId3"/>
    <sheet xmlns:r="http://schemas.openxmlformats.org/officeDocument/2006/relationships" name="Site Profile" sheetId="4" state="visible" r:id="rId4"/>
    <sheet xmlns:r="http://schemas.openxmlformats.org/officeDocument/2006/relationships" name="AADT Evidence" sheetId="5" state="visible" r:id="rId5"/>
    <sheet xmlns:r="http://schemas.openxmlformats.org/officeDocument/2006/relationships" name="POI Detail" sheetId="6" state="visible" r:id="rId6"/>
    <sheet xmlns:r="http://schemas.openxmlformats.org/officeDocument/2006/relationships" name="Competitor Detail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Model 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sz val="10"/>
    </font>
    <font>
      <name val="Aptos Display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Phrae Gate Demand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 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 Chart Data'!$A$2:$A$16</f>
            </numRef>
          </cat>
          <val>
            <numRef>
              <f>'Scenario Chart Data'!$B$2:$B$16</f>
            </numRef>
          </val>
        </ser>
        <ser>
          <idx val="1"/>
          <order val="1"/>
          <tx>
            <strRef>
              <f>'Scenario 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 Chart Data'!$A$2:$A$16</f>
            </numRef>
          </cat>
          <val>
            <numRef>
              <f>'Scenario Chart Data'!$C$2:$C$16</f>
            </numRef>
          </val>
        </ser>
        <ser>
          <idx val="2"/>
          <order val="2"/>
          <tx>
            <strRef>
              <f>'Scenario 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 Chart Data'!$A$2:$A$16</f>
            </numRef>
          </cat>
          <val>
            <numRef>
              <f>'Scenario Chart Data'!$D$2:$D$16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Cars/day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Site</t>
        </is>
      </c>
      <c r="B2" s="2" t="inlineStr">
        <is>
          <t>Phrae Gate Door to Northern</t>
        </is>
      </c>
      <c r="C2" s="2" t="inlineStr">
        <is>
          <t>X368+7R3, Den Chai, Den Chai District, Phrae 54110</t>
        </is>
      </c>
    </row>
    <row r="3">
      <c r="A3" s="2" t="inlineStr">
        <is>
          <t>Coordinates</t>
        </is>
      </c>
      <c r="B3" s="2" t="inlineStr">
        <is>
          <t>17.959748, 100.066848</t>
        </is>
      </c>
      <c r="C3" s="2" t="inlineStr">
        <is>
          <t>User-provided pin</t>
        </is>
      </c>
    </row>
    <row r="4">
      <c r="A4" s="2" t="inlineStr">
        <is>
          <t>Model view</t>
        </is>
      </c>
      <c r="B4" s="2" t="inlineStr">
        <is>
          <t>TCE-owned realistic preliminary</t>
        </is>
      </c>
      <c r="C4" s="2" t="inlineStr">
        <is>
          <t>Internal investment screening</t>
        </is>
      </c>
    </row>
    <row r="5">
      <c r="A5" s="2" t="inlineStr">
        <is>
          <t>Recommended phase 1 hardware</t>
        </is>
      </c>
      <c r="B5" s="2" t="inlineStr">
        <is>
          <t>INT-S-2-180 / 2 ports / 180 kW</t>
        </is>
      </c>
      <c r="C5" s="2" t="inlineStr">
        <is>
          <t>Lower CAPEX, expansion-ready</t>
        </is>
      </c>
    </row>
    <row r="6">
      <c r="A6" s="2" t="inlineStr">
        <is>
          <t>Upgrade option</t>
        </is>
      </c>
      <c r="B6" s="2" t="inlineStr">
        <is>
          <t>INT-M-4-180 / 4 ports</t>
        </is>
      </c>
      <c r="C6" s="2" t="inlineStr">
        <is>
          <t>Review after observed utilization</t>
        </is>
      </c>
    </row>
    <row r="7">
      <c r="A7" s="2" t="inlineStr">
        <is>
          <t>Realistic Y1 cars/day</t>
        </is>
      </c>
      <c r="B7" s="2" t="n">
        <v>13.5</v>
      </c>
      <c r="C7" s="2" t="inlineStr">
        <is>
          <t>Low-to-moderate start</t>
        </is>
      </c>
    </row>
    <row r="8">
      <c r="A8" s="2" t="inlineStr">
        <is>
          <t>Realistic Y5 cars/day</t>
        </is>
      </c>
      <c r="B8" s="2" t="n">
        <v>21.3</v>
      </c>
      <c r="C8" s="2" t="inlineStr">
        <is>
          <t>Growth with EV adoption</t>
        </is>
      </c>
    </row>
    <row r="9">
      <c r="A9" s="2" t="inlineStr">
        <is>
          <t>Realistic Y10 cars/day</t>
        </is>
      </c>
      <c r="B9" s="2" t="n">
        <v>31.6</v>
      </c>
      <c r="C9" s="2" t="inlineStr">
        <is>
          <t>Upgrade review likely before this point</t>
        </is>
      </c>
    </row>
    <row r="10">
      <c r="A10" s="2" t="inlineStr">
        <is>
          <t>DOPA Phrae population</t>
        </is>
      </c>
      <c r="B10" s="2" t="n">
        <v>417480</v>
      </c>
      <c r="C10" s="2" t="inlineStr">
        <is>
          <t>DOPA 2568</t>
        </is>
      </c>
    </row>
    <row r="11">
      <c r="A11" s="2" t="inlineStr">
        <is>
          <t>DOPA Den Chai population</t>
        </is>
      </c>
      <c r="B11" s="2" t="n">
        <v>19154</v>
      </c>
      <c r="C11" s="2" t="inlineStr">
        <is>
          <t>DOPA 2568</t>
        </is>
      </c>
    </row>
    <row r="12">
      <c r="A12" s="2" t="inlineStr">
        <is>
          <t>DLT Phrae Ror.1 fleet</t>
        </is>
      </c>
      <c r="B12" s="2" t="n">
        <v>51702</v>
      </c>
      <c r="C12" s="2" t="inlineStr">
        <is>
          <t>DLT Apr 2026</t>
        </is>
      </c>
    </row>
    <row r="13">
      <c r="A13" s="2" t="inlineStr">
        <is>
          <t>DLT Phrae BEV</t>
        </is>
      </c>
      <c r="B13" s="2" t="n">
        <v>426</v>
      </c>
      <c r="C13" s="2" t="inlineStr">
        <is>
          <t>BEV share 0.82%</t>
        </is>
      </c>
    </row>
    <row r="14">
      <c r="A14" s="2" t="inlineStr">
        <is>
          <t>AADT evidence</t>
        </is>
      </c>
      <c r="B14" s="2" t="inlineStr">
        <is>
          <t>Route 11: 11,849 / Den Chai entrance: 4,809</t>
        </is>
      </c>
      <c r="C14" s="2" t="inlineStr">
        <is>
          <t>Blended gateway view</t>
        </is>
      </c>
    </row>
    <row r="15">
      <c r="A15" s="2" t="inlineStr">
        <is>
          <t>Model confidence</t>
        </is>
      </c>
      <c r="B15" s="2" t="inlineStr">
        <is>
          <t>Medium-low to medium</t>
        </is>
      </c>
      <c r="C15" s="2" t="inlineStr">
        <is>
          <t>Competitors/grid need field confirmation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15" customWidth="1" min="9" max="9"/>
    <col width="22" customWidth="1" min="10" max="10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Year No.</t>
        </is>
      </c>
      <c r="D1" s="1" t="inlineStr">
        <is>
          <t>Cars/day</t>
        </is>
      </c>
      <c r="E1" s="1" t="inlineStr">
        <is>
          <t>kWh/day</t>
        </is>
      </c>
      <c r="F1" s="1" t="inlineStr">
        <is>
          <t>Annual cars</t>
        </is>
      </c>
      <c r="G1" s="1" t="inlineStr">
        <is>
          <t>Annual kWh</t>
        </is>
      </c>
      <c r="H1" s="1" t="inlineStr">
        <is>
          <t>Phase-1 ports</t>
        </is>
      </c>
      <c r="I1" s="1" t="inlineStr">
        <is>
          <t>Cars/port/day</t>
        </is>
      </c>
      <c r="J1" s="1" t="inlineStr">
        <is>
          <t>Capacity note</t>
        </is>
      </c>
    </row>
    <row r="2">
      <c r="A2" s="2" t="inlineStr">
        <is>
          <t>Conservative</t>
        </is>
      </c>
      <c r="B2" s="2" t="n">
        <v>2026</v>
      </c>
      <c r="C2" s="2" t="n">
        <v>1</v>
      </c>
      <c r="D2" s="2" t="n">
        <v>8</v>
      </c>
      <c r="E2" s="2" t="n">
        <v>224</v>
      </c>
      <c r="F2" s="2" t="n">
        <v>2920</v>
      </c>
      <c r="G2" s="2" t="n">
        <v>81760</v>
      </c>
      <c r="H2" s="2" t="n">
        <v>2</v>
      </c>
      <c r="I2" s="2" t="n">
        <v>4</v>
      </c>
      <c r="J2" s="2" t="inlineStr">
        <is>
          <t>within phase-1 range</t>
        </is>
      </c>
    </row>
    <row r="3">
      <c r="A3" s="2" t="inlineStr">
        <is>
          <t>Conservative</t>
        </is>
      </c>
      <c r="B3" s="2" t="n">
        <v>2027</v>
      </c>
      <c r="C3" s="2" t="n">
        <v>2</v>
      </c>
      <c r="D3" s="2" t="n">
        <v>9.1</v>
      </c>
      <c r="E3" s="2" t="n">
        <v>254.8</v>
      </c>
      <c r="F3" s="2" t="n">
        <v>3322</v>
      </c>
      <c r="G3" s="2" t="n">
        <v>93002</v>
      </c>
      <c r="H3" s="2" t="n">
        <v>2</v>
      </c>
      <c r="I3" s="2" t="n">
        <v>4.5</v>
      </c>
      <c r="J3" s="2" t="inlineStr">
        <is>
          <t>within phase-1 range</t>
        </is>
      </c>
    </row>
    <row r="4">
      <c r="A4" s="2" t="inlineStr">
        <is>
          <t>Conservative</t>
        </is>
      </c>
      <c r="B4" s="2" t="n">
        <v>2028</v>
      </c>
      <c r="C4" s="2" t="n">
        <v>3</v>
      </c>
      <c r="D4" s="2" t="n">
        <v>10.2</v>
      </c>
      <c r="E4" s="2" t="n">
        <v>285.6</v>
      </c>
      <c r="F4" s="2" t="n">
        <v>3723</v>
      </c>
      <c r="G4" s="2" t="n">
        <v>104244</v>
      </c>
      <c r="H4" s="2" t="n">
        <v>2</v>
      </c>
      <c r="I4" s="2" t="n">
        <v>5.1</v>
      </c>
      <c r="J4" s="2" t="inlineStr">
        <is>
          <t>within phase-1 range</t>
        </is>
      </c>
    </row>
    <row r="5">
      <c r="A5" s="2" t="inlineStr">
        <is>
          <t>Conservative</t>
        </is>
      </c>
      <c r="B5" s="2" t="n">
        <v>2029</v>
      </c>
      <c r="C5" s="2" t="n">
        <v>4</v>
      </c>
      <c r="D5" s="2" t="n">
        <v>11.4</v>
      </c>
      <c r="E5" s="2" t="n">
        <v>319.2</v>
      </c>
      <c r="F5" s="2" t="n">
        <v>4161</v>
      </c>
      <c r="G5" s="2" t="n">
        <v>116508</v>
      </c>
      <c r="H5" s="2" t="n">
        <v>2</v>
      </c>
      <c r="I5" s="2" t="n">
        <v>5.7</v>
      </c>
      <c r="J5" s="2" t="inlineStr">
        <is>
          <t>within phase-1 range</t>
        </is>
      </c>
    </row>
    <row r="6">
      <c r="A6" s="2" t="inlineStr">
        <is>
          <t>Conservative</t>
        </is>
      </c>
      <c r="B6" s="2" t="n">
        <v>2030</v>
      </c>
      <c r="C6" s="2" t="n">
        <v>5</v>
      </c>
      <c r="D6" s="2" t="n">
        <v>12.6</v>
      </c>
      <c r="E6" s="2" t="n">
        <v>352.8</v>
      </c>
      <c r="F6" s="2" t="n">
        <v>4599</v>
      </c>
      <c r="G6" s="2" t="n">
        <v>128772</v>
      </c>
      <c r="H6" s="2" t="n">
        <v>2</v>
      </c>
      <c r="I6" s="2" t="n">
        <v>6.3</v>
      </c>
      <c r="J6" s="2" t="inlineStr">
        <is>
          <t>within phase-1 range</t>
        </is>
      </c>
    </row>
    <row r="7">
      <c r="A7" s="2" t="inlineStr">
        <is>
          <t>Conservative</t>
        </is>
      </c>
      <c r="B7" s="2" t="n">
        <v>2031</v>
      </c>
      <c r="C7" s="2" t="n">
        <v>6</v>
      </c>
      <c r="D7" s="2" t="n">
        <v>13.8</v>
      </c>
      <c r="E7" s="2" t="n">
        <v>386.4</v>
      </c>
      <c r="F7" s="2" t="n">
        <v>5037</v>
      </c>
      <c r="G7" s="2" t="n">
        <v>141036</v>
      </c>
      <c r="H7" s="2" t="n">
        <v>2</v>
      </c>
      <c r="I7" s="2" t="n">
        <v>6.9</v>
      </c>
      <c r="J7" s="2" t="inlineStr">
        <is>
          <t>within phase-1 range</t>
        </is>
      </c>
    </row>
    <row r="8">
      <c r="A8" s="2" t="inlineStr">
        <is>
          <t>Conservative</t>
        </is>
      </c>
      <c r="B8" s="2" t="n">
        <v>2032</v>
      </c>
      <c r="C8" s="2" t="n">
        <v>7</v>
      </c>
      <c r="D8" s="2" t="n">
        <v>15</v>
      </c>
      <c r="E8" s="2" t="n">
        <v>420</v>
      </c>
      <c r="F8" s="2" t="n">
        <v>5475</v>
      </c>
      <c r="G8" s="2" t="n">
        <v>153300</v>
      </c>
      <c r="H8" s="2" t="n">
        <v>2</v>
      </c>
      <c r="I8" s="2" t="n">
        <v>7.5</v>
      </c>
      <c r="J8" s="2" t="inlineStr">
        <is>
          <t>within phase-1 range</t>
        </is>
      </c>
    </row>
    <row r="9">
      <c r="A9" s="2" t="inlineStr">
        <is>
          <t>Conservative</t>
        </is>
      </c>
      <c r="B9" s="2" t="n">
        <v>2033</v>
      </c>
      <c r="C9" s="2" t="n">
        <v>8</v>
      </c>
      <c r="D9" s="2" t="n">
        <v>16.2</v>
      </c>
      <c r="E9" s="2" t="n">
        <v>453.6</v>
      </c>
      <c r="F9" s="2" t="n">
        <v>5913</v>
      </c>
      <c r="G9" s="2" t="n">
        <v>165564</v>
      </c>
      <c r="H9" s="2" t="n">
        <v>2</v>
      </c>
      <c r="I9" s="2" t="n">
        <v>8.1</v>
      </c>
      <c r="J9" s="2" t="inlineStr">
        <is>
          <t>within phase-1 range</t>
        </is>
      </c>
    </row>
    <row r="10">
      <c r="A10" s="2" t="inlineStr">
        <is>
          <t>Conservative</t>
        </is>
      </c>
      <c r="B10" s="2" t="n">
        <v>2034</v>
      </c>
      <c r="C10" s="2" t="n">
        <v>9</v>
      </c>
      <c r="D10" s="2" t="n">
        <v>17.4</v>
      </c>
      <c r="E10" s="2" t="n">
        <v>487.2</v>
      </c>
      <c r="F10" s="2" t="n">
        <v>6351</v>
      </c>
      <c r="G10" s="2" t="n">
        <v>177828</v>
      </c>
      <c r="H10" s="2" t="n">
        <v>2</v>
      </c>
      <c r="I10" s="2" t="n">
        <v>8.699999999999999</v>
      </c>
      <c r="J10" s="2" t="inlineStr">
        <is>
          <t>within phase-1 range</t>
        </is>
      </c>
    </row>
    <row r="11">
      <c r="A11" s="2" t="inlineStr">
        <is>
          <t>Conservative</t>
        </is>
      </c>
      <c r="B11" s="2" t="n">
        <v>2035</v>
      </c>
      <c r="C11" s="2" t="n">
        <v>10</v>
      </c>
      <c r="D11" s="2" t="n">
        <v>18.7</v>
      </c>
      <c r="E11" s="2" t="n">
        <v>523.6</v>
      </c>
      <c r="F11" s="2" t="n">
        <v>6826</v>
      </c>
      <c r="G11" s="2" t="n">
        <v>191114</v>
      </c>
      <c r="H11" s="2" t="n">
        <v>2</v>
      </c>
      <c r="I11" s="2" t="n">
        <v>9.300000000000001</v>
      </c>
      <c r="J11" s="2" t="inlineStr">
        <is>
          <t>within phase-1 range</t>
        </is>
      </c>
    </row>
    <row r="12">
      <c r="A12" s="2" t="inlineStr">
        <is>
          <t>Conservative</t>
        </is>
      </c>
      <c r="B12" s="2" t="n">
        <v>2036</v>
      </c>
      <c r="C12" s="2" t="n">
        <v>11</v>
      </c>
      <c r="D12" s="2" t="n">
        <v>20</v>
      </c>
      <c r="E12" s="2" t="n">
        <v>560</v>
      </c>
      <c r="F12" s="2" t="n">
        <v>7300</v>
      </c>
      <c r="G12" s="2" t="n">
        <v>204400</v>
      </c>
      <c r="H12" s="2" t="n">
        <v>2</v>
      </c>
      <c r="I12" s="2" t="n">
        <v>10</v>
      </c>
      <c r="J12" s="2" t="inlineStr">
        <is>
          <t>within phase-1 range</t>
        </is>
      </c>
    </row>
    <row r="13">
      <c r="A13" s="2" t="inlineStr">
        <is>
          <t>Conservative</t>
        </is>
      </c>
      <c r="B13" s="2" t="n">
        <v>2037</v>
      </c>
      <c r="C13" s="2" t="n">
        <v>12</v>
      </c>
      <c r="D13" s="2" t="n">
        <v>21.3</v>
      </c>
      <c r="E13" s="2" t="n">
        <v>596.4</v>
      </c>
      <c r="F13" s="2" t="n">
        <v>7774</v>
      </c>
      <c r="G13" s="2" t="n">
        <v>217686</v>
      </c>
      <c r="H13" s="2" t="n">
        <v>2</v>
      </c>
      <c r="I13" s="2" t="n">
        <v>10.7</v>
      </c>
      <c r="J13" s="2" t="inlineStr">
        <is>
          <t>within phase-1 range</t>
        </is>
      </c>
    </row>
    <row r="14">
      <c r="A14" s="2" t="inlineStr">
        <is>
          <t>Conservative</t>
        </is>
      </c>
      <c r="B14" s="2" t="n">
        <v>2038</v>
      </c>
      <c r="C14" s="2" t="n">
        <v>13</v>
      </c>
      <c r="D14" s="2" t="n">
        <v>22.6</v>
      </c>
      <c r="E14" s="2" t="n">
        <v>632.8</v>
      </c>
      <c r="F14" s="2" t="n">
        <v>8249</v>
      </c>
      <c r="G14" s="2" t="n">
        <v>230972</v>
      </c>
      <c r="H14" s="2" t="n">
        <v>2</v>
      </c>
      <c r="I14" s="2" t="n">
        <v>11.3</v>
      </c>
      <c r="J14" s="2" t="inlineStr">
        <is>
          <t>within phase-1 range</t>
        </is>
      </c>
    </row>
    <row r="15">
      <c r="A15" s="2" t="inlineStr">
        <is>
          <t>Conservative</t>
        </is>
      </c>
      <c r="B15" s="2" t="n">
        <v>2039</v>
      </c>
      <c r="C15" s="2" t="n">
        <v>14</v>
      </c>
      <c r="D15" s="2" t="n">
        <v>23.8</v>
      </c>
      <c r="E15" s="2" t="n">
        <v>666.4</v>
      </c>
      <c r="F15" s="2" t="n">
        <v>8687</v>
      </c>
      <c r="G15" s="2" t="n">
        <v>243236</v>
      </c>
      <c r="H15" s="2" t="n">
        <v>2</v>
      </c>
      <c r="I15" s="2" t="n">
        <v>11.9</v>
      </c>
      <c r="J15" s="2" t="inlineStr">
        <is>
          <t>within phase-1 range</t>
        </is>
      </c>
    </row>
    <row r="16">
      <c r="A16" s="2" t="inlineStr">
        <is>
          <t>Conservative</t>
        </is>
      </c>
      <c r="B16" s="2" t="n">
        <v>2040</v>
      </c>
      <c r="C16" s="2" t="n">
        <v>15</v>
      </c>
      <c r="D16" s="2" t="n">
        <v>25.1</v>
      </c>
      <c r="E16" s="2" t="n">
        <v>702.8</v>
      </c>
      <c r="F16" s="2" t="n">
        <v>9162</v>
      </c>
      <c r="G16" s="2" t="n">
        <v>256522</v>
      </c>
      <c r="H16" s="2" t="n">
        <v>2</v>
      </c>
      <c r="I16" s="2" t="n">
        <v>12.6</v>
      </c>
      <c r="J16" s="2" t="inlineStr">
        <is>
          <t>within phase-1 range</t>
        </is>
      </c>
    </row>
    <row r="17">
      <c r="A17" s="2" t="inlineStr">
        <is>
          <t>Realistic</t>
        </is>
      </c>
      <c r="B17" s="2" t="n">
        <v>2026</v>
      </c>
      <c r="C17" s="2" t="n">
        <v>1</v>
      </c>
      <c r="D17" s="2" t="n">
        <v>13.5</v>
      </c>
      <c r="E17" s="2" t="n">
        <v>378</v>
      </c>
      <c r="F17" s="2" t="n">
        <v>4928</v>
      </c>
      <c r="G17" s="2" t="n">
        <v>137970</v>
      </c>
      <c r="H17" s="2" t="n">
        <v>2</v>
      </c>
      <c r="I17" s="2" t="n">
        <v>6.8</v>
      </c>
      <c r="J17" s="2" t="inlineStr">
        <is>
          <t>within phase-1 range</t>
        </is>
      </c>
    </row>
    <row r="18">
      <c r="A18" s="2" t="inlineStr">
        <is>
          <t>Realistic</t>
        </is>
      </c>
      <c r="B18" s="2" t="n">
        <v>2027</v>
      </c>
      <c r="C18" s="2" t="n">
        <v>2</v>
      </c>
      <c r="D18" s="2" t="n">
        <v>15.4</v>
      </c>
      <c r="E18" s="2" t="n">
        <v>431.2</v>
      </c>
      <c r="F18" s="2" t="n">
        <v>5621</v>
      </c>
      <c r="G18" s="2" t="n">
        <v>157388</v>
      </c>
      <c r="H18" s="2" t="n">
        <v>2</v>
      </c>
      <c r="I18" s="2" t="n">
        <v>7.7</v>
      </c>
      <c r="J18" s="2" t="inlineStr">
        <is>
          <t>within phase-1 range</t>
        </is>
      </c>
    </row>
    <row r="19">
      <c r="A19" s="2" t="inlineStr">
        <is>
          <t>Realistic</t>
        </is>
      </c>
      <c r="B19" s="2" t="n">
        <v>2028</v>
      </c>
      <c r="C19" s="2" t="n">
        <v>3</v>
      </c>
      <c r="D19" s="2" t="n">
        <v>17.3</v>
      </c>
      <c r="E19" s="2" t="n">
        <v>484.4</v>
      </c>
      <c r="F19" s="2" t="n">
        <v>6314</v>
      </c>
      <c r="G19" s="2" t="n">
        <v>176806</v>
      </c>
      <c r="H19" s="2" t="n">
        <v>2</v>
      </c>
      <c r="I19" s="2" t="n">
        <v>8.699999999999999</v>
      </c>
      <c r="J19" s="2" t="inlineStr">
        <is>
          <t>within phase-1 range</t>
        </is>
      </c>
    </row>
    <row r="20">
      <c r="A20" s="2" t="inlineStr">
        <is>
          <t>Realistic</t>
        </is>
      </c>
      <c r="B20" s="2" t="n">
        <v>2029</v>
      </c>
      <c r="C20" s="2" t="n">
        <v>4</v>
      </c>
      <c r="D20" s="2" t="n">
        <v>19.3</v>
      </c>
      <c r="E20" s="2" t="n">
        <v>540.4</v>
      </c>
      <c r="F20" s="2" t="n">
        <v>7044</v>
      </c>
      <c r="G20" s="2" t="n">
        <v>197246</v>
      </c>
      <c r="H20" s="2" t="n">
        <v>2</v>
      </c>
      <c r="I20" s="2" t="n">
        <v>9.699999999999999</v>
      </c>
      <c r="J20" s="2" t="inlineStr">
        <is>
          <t>within phase-1 range</t>
        </is>
      </c>
    </row>
    <row r="21">
      <c r="A21" s="2" t="inlineStr">
        <is>
          <t>Realistic</t>
        </is>
      </c>
      <c r="B21" s="2" t="n">
        <v>2030</v>
      </c>
      <c r="C21" s="2" t="n">
        <v>5</v>
      </c>
      <c r="D21" s="2" t="n">
        <v>21.3</v>
      </c>
      <c r="E21" s="2" t="n">
        <v>596.4</v>
      </c>
      <c r="F21" s="2" t="n">
        <v>7774</v>
      </c>
      <c r="G21" s="2" t="n">
        <v>217686</v>
      </c>
      <c r="H21" s="2" t="n">
        <v>2</v>
      </c>
      <c r="I21" s="2" t="n">
        <v>10.7</v>
      </c>
      <c r="J21" s="2" t="inlineStr">
        <is>
          <t>within phase-1 range</t>
        </is>
      </c>
    </row>
    <row r="22">
      <c r="A22" s="2" t="inlineStr">
        <is>
          <t>Realistic</t>
        </is>
      </c>
      <c r="B22" s="2" t="n">
        <v>2031</v>
      </c>
      <c r="C22" s="2" t="n">
        <v>6</v>
      </c>
      <c r="D22" s="2" t="n">
        <v>23.4</v>
      </c>
      <c r="E22" s="2" t="n">
        <v>655.2</v>
      </c>
      <c r="F22" s="2" t="n">
        <v>8541</v>
      </c>
      <c r="G22" s="2" t="n">
        <v>239148</v>
      </c>
      <c r="H22" s="2" t="n">
        <v>2</v>
      </c>
      <c r="I22" s="2" t="n">
        <v>11.7</v>
      </c>
      <c r="J22" s="2" t="inlineStr">
        <is>
          <t>within phase-1 range</t>
        </is>
      </c>
    </row>
    <row r="23">
      <c r="A23" s="2" t="inlineStr">
        <is>
          <t>Realistic</t>
        </is>
      </c>
      <c r="B23" s="2" t="n">
        <v>2032</v>
      </c>
      <c r="C23" s="2" t="n">
        <v>7</v>
      </c>
      <c r="D23" s="2" t="n">
        <v>25.4</v>
      </c>
      <c r="E23" s="2" t="n">
        <v>711.2</v>
      </c>
      <c r="F23" s="2" t="n">
        <v>9271</v>
      </c>
      <c r="G23" s="2" t="n">
        <v>259588</v>
      </c>
      <c r="H23" s="2" t="n">
        <v>2</v>
      </c>
      <c r="I23" s="2" t="n">
        <v>12.7</v>
      </c>
      <c r="J23" s="2" t="inlineStr">
        <is>
          <t>within phase-1 range</t>
        </is>
      </c>
    </row>
    <row r="24">
      <c r="A24" s="2" t="inlineStr">
        <is>
          <t>Realistic</t>
        </is>
      </c>
      <c r="B24" s="2" t="n">
        <v>2033</v>
      </c>
      <c r="C24" s="2" t="n">
        <v>8</v>
      </c>
      <c r="D24" s="2" t="n">
        <v>27.4</v>
      </c>
      <c r="E24" s="2" t="n">
        <v>767.2</v>
      </c>
      <c r="F24" s="2" t="n">
        <v>10001</v>
      </c>
      <c r="G24" s="2" t="n">
        <v>280028</v>
      </c>
      <c r="H24" s="2" t="n">
        <v>2</v>
      </c>
      <c r="I24" s="2" t="n">
        <v>13.7</v>
      </c>
      <c r="J24" s="2" t="inlineStr">
        <is>
          <t>within phase-1 range</t>
        </is>
      </c>
    </row>
    <row r="25">
      <c r="A25" s="2" t="inlineStr">
        <is>
          <t>Realistic</t>
        </is>
      </c>
      <c r="B25" s="2" t="n">
        <v>2034</v>
      </c>
      <c r="C25" s="2" t="n">
        <v>9</v>
      </c>
      <c r="D25" s="2" t="n">
        <v>29.4</v>
      </c>
      <c r="E25" s="2" t="n">
        <v>823.2</v>
      </c>
      <c r="F25" s="2" t="n">
        <v>10731</v>
      </c>
      <c r="G25" s="2" t="n">
        <v>300468</v>
      </c>
      <c r="H25" s="2" t="n">
        <v>2</v>
      </c>
      <c r="I25" s="2" t="n">
        <v>14.7</v>
      </c>
      <c r="J25" s="2" t="inlineStr">
        <is>
          <t>upgrade review</t>
        </is>
      </c>
    </row>
    <row r="26">
      <c r="A26" s="2" t="inlineStr">
        <is>
          <t>Realistic</t>
        </is>
      </c>
      <c r="B26" s="2" t="n">
        <v>2035</v>
      </c>
      <c r="C26" s="2" t="n">
        <v>10</v>
      </c>
      <c r="D26" s="2" t="n">
        <v>31.6</v>
      </c>
      <c r="E26" s="2" t="n">
        <v>884.8</v>
      </c>
      <c r="F26" s="2" t="n">
        <v>11534</v>
      </c>
      <c r="G26" s="2" t="n">
        <v>322952</v>
      </c>
      <c r="H26" s="2" t="n">
        <v>2</v>
      </c>
      <c r="I26" s="2" t="n">
        <v>15.8</v>
      </c>
      <c r="J26" s="2" t="inlineStr">
        <is>
          <t>upgrade review</t>
        </is>
      </c>
    </row>
    <row r="27">
      <c r="A27" s="2" t="inlineStr">
        <is>
          <t>Realistic</t>
        </is>
      </c>
      <c r="B27" s="2" t="n">
        <v>2036</v>
      </c>
      <c r="C27" s="2" t="n">
        <v>11</v>
      </c>
      <c r="D27" s="2" t="n">
        <v>33.8</v>
      </c>
      <c r="E27" s="2" t="n">
        <v>946.4</v>
      </c>
      <c r="F27" s="2" t="n">
        <v>12337</v>
      </c>
      <c r="G27" s="2" t="n">
        <v>345436</v>
      </c>
      <c r="H27" s="2" t="n">
        <v>2</v>
      </c>
      <c r="I27" s="2" t="n">
        <v>16.9</v>
      </c>
      <c r="J27" s="2" t="inlineStr">
        <is>
          <t>upgrade review</t>
        </is>
      </c>
    </row>
    <row r="28">
      <c r="A28" s="2" t="inlineStr">
        <is>
          <t>Realistic</t>
        </is>
      </c>
      <c r="B28" s="2" t="n">
        <v>2037</v>
      </c>
      <c r="C28" s="2" t="n">
        <v>12</v>
      </c>
      <c r="D28" s="2" t="n">
        <v>35.9</v>
      </c>
      <c r="E28" s="2" t="n">
        <v>1005.2</v>
      </c>
      <c r="F28" s="2" t="n">
        <v>13104</v>
      </c>
      <c r="G28" s="2" t="n">
        <v>366898</v>
      </c>
      <c r="H28" s="2" t="n">
        <v>2</v>
      </c>
      <c r="I28" s="2" t="n">
        <v>17.9</v>
      </c>
      <c r="J28" s="2" t="inlineStr">
        <is>
          <t>upgrade review</t>
        </is>
      </c>
    </row>
    <row r="29">
      <c r="A29" s="2" t="inlineStr">
        <is>
          <t>Realistic</t>
        </is>
      </c>
      <c r="B29" s="2" t="n">
        <v>2038</v>
      </c>
      <c r="C29" s="2" t="n">
        <v>13</v>
      </c>
      <c r="D29" s="2" t="n">
        <v>38.1</v>
      </c>
      <c r="E29" s="2" t="n">
        <v>1066.8</v>
      </c>
      <c r="F29" s="2" t="n">
        <v>13906</v>
      </c>
      <c r="G29" s="2" t="n">
        <v>389382</v>
      </c>
      <c r="H29" s="2" t="n">
        <v>2</v>
      </c>
      <c r="I29" s="2" t="n">
        <v>19.1</v>
      </c>
      <c r="J29" s="2" t="inlineStr">
        <is>
          <t>upgrade review</t>
        </is>
      </c>
    </row>
    <row r="30">
      <c r="A30" s="2" t="inlineStr">
        <is>
          <t>Realistic</t>
        </is>
      </c>
      <c r="B30" s="2" t="n">
        <v>2039</v>
      </c>
      <c r="C30" s="2" t="n">
        <v>14</v>
      </c>
      <c r="D30" s="2" t="n">
        <v>40.2</v>
      </c>
      <c r="E30" s="2" t="n">
        <v>1125.6</v>
      </c>
      <c r="F30" s="2" t="n">
        <v>14673</v>
      </c>
      <c r="G30" s="2" t="n">
        <v>410844</v>
      </c>
      <c r="H30" s="2" t="n">
        <v>2</v>
      </c>
      <c r="I30" s="2" t="n">
        <v>20.1</v>
      </c>
      <c r="J30" s="2" t="inlineStr">
        <is>
          <t>upgrade review</t>
        </is>
      </c>
    </row>
    <row r="31">
      <c r="A31" s="2" t="inlineStr">
        <is>
          <t>Realistic</t>
        </is>
      </c>
      <c r="B31" s="2" t="n">
        <v>2040</v>
      </c>
      <c r="C31" s="2" t="n">
        <v>15</v>
      </c>
      <c r="D31" s="2" t="n">
        <v>42.4</v>
      </c>
      <c r="E31" s="2" t="n">
        <v>1187.2</v>
      </c>
      <c r="F31" s="2" t="n">
        <v>15476</v>
      </c>
      <c r="G31" s="2" t="n">
        <v>433328</v>
      </c>
      <c r="H31" s="2" t="n">
        <v>2</v>
      </c>
      <c r="I31" s="2" t="n">
        <v>21.2</v>
      </c>
      <c r="J31" s="2" t="inlineStr">
        <is>
          <t>upgrade review</t>
        </is>
      </c>
    </row>
    <row r="32">
      <c r="A32" s="2" t="inlineStr">
        <is>
          <t>Upside check</t>
        </is>
      </c>
      <c r="B32" s="2" t="n">
        <v>2026</v>
      </c>
      <c r="C32" s="2" t="n">
        <v>1</v>
      </c>
      <c r="D32" s="2" t="n">
        <v>21</v>
      </c>
      <c r="E32" s="2" t="n">
        <v>588</v>
      </c>
      <c r="F32" s="2" t="n">
        <v>7665</v>
      </c>
      <c r="G32" s="2" t="n">
        <v>214620</v>
      </c>
      <c r="H32" s="2" t="n">
        <v>2</v>
      </c>
      <c r="I32" s="2" t="n">
        <v>10.5</v>
      </c>
      <c r="J32" s="2" t="inlineStr">
        <is>
          <t>within phase-1 range</t>
        </is>
      </c>
    </row>
    <row r="33">
      <c r="A33" s="2" t="inlineStr">
        <is>
          <t>Upside check</t>
        </is>
      </c>
      <c r="B33" s="2" t="n">
        <v>2027</v>
      </c>
      <c r="C33" s="2" t="n">
        <v>2</v>
      </c>
      <c r="D33" s="2" t="n">
        <v>23.9</v>
      </c>
      <c r="E33" s="2" t="n">
        <v>669.2</v>
      </c>
      <c r="F33" s="2" t="n">
        <v>8724</v>
      </c>
      <c r="G33" s="2" t="n">
        <v>244258</v>
      </c>
      <c r="H33" s="2" t="n">
        <v>2</v>
      </c>
      <c r="I33" s="2" t="n">
        <v>11.9</v>
      </c>
      <c r="J33" s="2" t="inlineStr">
        <is>
          <t>within phase-1 range</t>
        </is>
      </c>
    </row>
    <row r="34">
      <c r="A34" s="2" t="inlineStr">
        <is>
          <t>Upside check</t>
        </is>
      </c>
      <c r="B34" s="2" t="n">
        <v>2028</v>
      </c>
      <c r="C34" s="2" t="n">
        <v>3</v>
      </c>
      <c r="D34" s="2" t="n">
        <v>26.9</v>
      </c>
      <c r="E34" s="2" t="n">
        <v>753.2</v>
      </c>
      <c r="F34" s="2" t="n">
        <v>9818</v>
      </c>
      <c r="G34" s="2" t="n">
        <v>274918</v>
      </c>
      <c r="H34" s="2" t="n">
        <v>2</v>
      </c>
      <c r="I34" s="2" t="n">
        <v>13.4</v>
      </c>
      <c r="J34" s="2" t="inlineStr">
        <is>
          <t>within phase-1 range</t>
        </is>
      </c>
    </row>
    <row r="35">
      <c r="A35" s="2" t="inlineStr">
        <is>
          <t>Upside check</t>
        </is>
      </c>
      <c r="B35" s="2" t="n">
        <v>2029</v>
      </c>
      <c r="C35" s="2" t="n">
        <v>4</v>
      </c>
      <c r="D35" s="2" t="n">
        <v>30</v>
      </c>
      <c r="E35" s="2" t="n">
        <v>840</v>
      </c>
      <c r="F35" s="2" t="n">
        <v>10950</v>
      </c>
      <c r="G35" s="2" t="n">
        <v>306600</v>
      </c>
      <c r="H35" s="2" t="n">
        <v>2</v>
      </c>
      <c r="I35" s="2" t="n">
        <v>15</v>
      </c>
      <c r="J35" s="2" t="inlineStr">
        <is>
          <t>upgrade review</t>
        </is>
      </c>
    </row>
    <row r="36">
      <c r="A36" s="2" t="inlineStr">
        <is>
          <t>Upside check</t>
        </is>
      </c>
      <c r="B36" s="2" t="n">
        <v>2030</v>
      </c>
      <c r="C36" s="2" t="n">
        <v>5</v>
      </c>
      <c r="D36" s="2" t="n">
        <v>33.2</v>
      </c>
      <c r="E36" s="2" t="n">
        <v>929.6</v>
      </c>
      <c r="F36" s="2" t="n">
        <v>12118</v>
      </c>
      <c r="G36" s="2" t="n">
        <v>339304</v>
      </c>
      <c r="H36" s="2" t="n">
        <v>2</v>
      </c>
      <c r="I36" s="2" t="n">
        <v>16.6</v>
      </c>
      <c r="J36" s="2" t="inlineStr">
        <is>
          <t>upgrade review</t>
        </is>
      </c>
    </row>
    <row r="37">
      <c r="A37" s="2" t="inlineStr">
        <is>
          <t>Upside check</t>
        </is>
      </c>
      <c r="B37" s="2" t="n">
        <v>2031</v>
      </c>
      <c r="C37" s="2" t="n">
        <v>6</v>
      </c>
      <c r="D37" s="2" t="n">
        <v>36.3</v>
      </c>
      <c r="E37" s="2" t="n">
        <v>1016.4</v>
      </c>
      <c r="F37" s="2" t="n">
        <v>13249</v>
      </c>
      <c r="G37" s="2" t="n">
        <v>370986</v>
      </c>
      <c r="H37" s="2" t="n">
        <v>2</v>
      </c>
      <c r="I37" s="2" t="n">
        <v>18.1</v>
      </c>
      <c r="J37" s="2" t="inlineStr">
        <is>
          <t>upgrade review</t>
        </is>
      </c>
    </row>
    <row r="38">
      <c r="A38" s="2" t="inlineStr">
        <is>
          <t>Upside check</t>
        </is>
      </c>
      <c r="B38" s="2" t="n">
        <v>2032</v>
      </c>
      <c r="C38" s="2" t="n">
        <v>7</v>
      </c>
      <c r="D38" s="2" t="n">
        <v>39.5</v>
      </c>
      <c r="E38" s="2" t="n">
        <v>1106</v>
      </c>
      <c r="F38" s="2" t="n">
        <v>14418</v>
      </c>
      <c r="G38" s="2" t="n">
        <v>403690</v>
      </c>
      <c r="H38" s="2" t="n">
        <v>2</v>
      </c>
      <c r="I38" s="2" t="n">
        <v>19.8</v>
      </c>
      <c r="J38" s="2" t="inlineStr">
        <is>
          <t>upgrade review</t>
        </is>
      </c>
    </row>
    <row r="39">
      <c r="A39" s="2" t="inlineStr">
        <is>
          <t>Upside check</t>
        </is>
      </c>
      <c r="B39" s="2" t="n">
        <v>2033</v>
      </c>
      <c r="C39" s="2" t="n">
        <v>8</v>
      </c>
      <c r="D39" s="2" t="n">
        <v>42.6</v>
      </c>
      <c r="E39" s="2" t="n">
        <v>1192.8</v>
      </c>
      <c r="F39" s="2" t="n">
        <v>15549</v>
      </c>
      <c r="G39" s="2" t="n">
        <v>435372</v>
      </c>
      <c r="H39" s="2" t="n">
        <v>2</v>
      </c>
      <c r="I39" s="2" t="n">
        <v>21.3</v>
      </c>
      <c r="J39" s="2" t="inlineStr">
        <is>
          <t>upgrade review</t>
        </is>
      </c>
    </row>
    <row r="40">
      <c r="A40" s="2" t="inlineStr">
        <is>
          <t>Upside check</t>
        </is>
      </c>
      <c r="B40" s="2" t="n">
        <v>2034</v>
      </c>
      <c r="C40" s="2" t="n">
        <v>9</v>
      </c>
      <c r="D40" s="2" t="n">
        <v>45.8</v>
      </c>
      <c r="E40" s="2" t="n">
        <v>1282.4</v>
      </c>
      <c r="F40" s="2" t="n">
        <v>16717</v>
      </c>
      <c r="G40" s="2" t="n">
        <v>468076</v>
      </c>
      <c r="H40" s="2" t="n">
        <v>2</v>
      </c>
      <c r="I40" s="2" t="n">
        <v>22.9</v>
      </c>
      <c r="J40" s="2" t="inlineStr">
        <is>
          <t>upgrade review</t>
        </is>
      </c>
    </row>
    <row r="41">
      <c r="A41" s="2" t="inlineStr">
        <is>
          <t>Upside check</t>
        </is>
      </c>
      <c r="B41" s="2" t="n">
        <v>2035</v>
      </c>
      <c r="C41" s="2" t="n">
        <v>10</v>
      </c>
      <c r="D41" s="2" t="n">
        <v>49.1</v>
      </c>
      <c r="E41" s="2" t="n">
        <v>1374.8</v>
      </c>
      <c r="F41" s="2" t="n">
        <v>17922</v>
      </c>
      <c r="G41" s="2" t="n">
        <v>501802</v>
      </c>
      <c r="H41" s="2" t="n">
        <v>2</v>
      </c>
      <c r="I41" s="2" t="n">
        <v>24.6</v>
      </c>
      <c r="J41" s="2" t="inlineStr">
        <is>
          <t>upgrade review</t>
        </is>
      </c>
    </row>
    <row r="42">
      <c r="A42" s="2" t="inlineStr">
        <is>
          <t>Upside check</t>
        </is>
      </c>
      <c r="B42" s="2" t="n">
        <v>2036</v>
      </c>
      <c r="C42" s="2" t="n">
        <v>11</v>
      </c>
      <c r="D42" s="2" t="n">
        <v>52.5</v>
      </c>
      <c r="E42" s="2" t="n">
        <v>1470</v>
      </c>
      <c r="F42" s="2" t="n">
        <v>19162</v>
      </c>
      <c r="G42" s="2" t="n">
        <v>536550</v>
      </c>
      <c r="H42" s="2" t="n">
        <v>2</v>
      </c>
      <c r="I42" s="2" t="n">
        <v>26.2</v>
      </c>
      <c r="J42" s="2" t="inlineStr">
        <is>
          <t>upgrade review</t>
        </is>
      </c>
    </row>
    <row r="43">
      <c r="A43" s="2" t="inlineStr">
        <is>
          <t>Upside check</t>
        </is>
      </c>
      <c r="B43" s="2" t="n">
        <v>2037</v>
      </c>
      <c r="C43" s="2" t="n">
        <v>12</v>
      </c>
      <c r="D43" s="2" t="n">
        <v>55.9</v>
      </c>
      <c r="E43" s="2" t="n">
        <v>1565.2</v>
      </c>
      <c r="F43" s="2" t="n">
        <v>20404</v>
      </c>
      <c r="G43" s="2" t="n">
        <v>571298</v>
      </c>
      <c r="H43" s="2" t="n">
        <v>2</v>
      </c>
      <c r="I43" s="2" t="n">
        <v>27.9</v>
      </c>
      <c r="J43" s="2" t="inlineStr">
        <is>
          <t>upgrade review</t>
        </is>
      </c>
    </row>
    <row r="44">
      <c r="A44" s="2" t="inlineStr">
        <is>
          <t>Upside check</t>
        </is>
      </c>
      <c r="B44" s="2" t="n">
        <v>2038</v>
      </c>
      <c r="C44" s="2" t="n">
        <v>13</v>
      </c>
      <c r="D44" s="2" t="n">
        <v>59.2</v>
      </c>
      <c r="E44" s="2" t="n">
        <v>1657.6</v>
      </c>
      <c r="F44" s="2" t="n">
        <v>21608</v>
      </c>
      <c r="G44" s="2" t="n">
        <v>605024</v>
      </c>
      <c r="H44" s="2" t="n">
        <v>2</v>
      </c>
      <c r="I44" s="2" t="n">
        <v>29.6</v>
      </c>
      <c r="J44" s="2" t="inlineStr">
        <is>
          <t>upgrade review</t>
        </is>
      </c>
    </row>
    <row r="45">
      <c r="A45" s="2" t="inlineStr">
        <is>
          <t>Upside check</t>
        </is>
      </c>
      <c r="B45" s="2" t="n">
        <v>2039</v>
      </c>
      <c r="C45" s="2" t="n">
        <v>14</v>
      </c>
      <c r="D45" s="2" t="n">
        <v>62.6</v>
      </c>
      <c r="E45" s="2" t="n">
        <v>1752.8</v>
      </c>
      <c r="F45" s="2" t="n">
        <v>22849</v>
      </c>
      <c r="G45" s="2" t="n">
        <v>639772</v>
      </c>
      <c r="H45" s="2" t="n">
        <v>2</v>
      </c>
      <c r="I45" s="2" t="n">
        <v>31.3</v>
      </c>
      <c r="J45" s="2" t="inlineStr">
        <is>
          <t>upgrade review</t>
        </is>
      </c>
    </row>
    <row r="46">
      <c r="A46" s="2" t="inlineStr">
        <is>
          <t>Upside check</t>
        </is>
      </c>
      <c r="B46" s="2" t="n">
        <v>2040</v>
      </c>
      <c r="C46" s="2" t="n">
        <v>15</v>
      </c>
      <c r="D46" s="2" t="n">
        <v>65</v>
      </c>
      <c r="E46" s="2" t="n">
        <v>1820</v>
      </c>
      <c r="F46" s="2" t="n">
        <v>23725</v>
      </c>
      <c r="G46" s="2" t="n">
        <v>664300</v>
      </c>
      <c r="H46" s="2" t="n">
        <v>2</v>
      </c>
      <c r="I46" s="2" t="n">
        <v>32.5</v>
      </c>
      <c r="J46" s="2" t="inlineStr">
        <is>
          <t>upgrade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Year</t>
        </is>
      </c>
      <c r="B1" s="1" t="inlineStr">
        <is>
          <t>Conservative</t>
        </is>
      </c>
      <c r="C1" s="1" t="inlineStr">
        <is>
          <t>Realistic</t>
        </is>
      </c>
      <c r="D1" s="1" t="inlineStr">
        <is>
          <t>Upside check</t>
        </is>
      </c>
    </row>
    <row r="2">
      <c r="A2" s="2" t="n">
        <v>2026</v>
      </c>
      <c r="B2" s="2" t="n">
        <v>8</v>
      </c>
      <c r="C2" s="2" t="n">
        <v>13.5</v>
      </c>
      <c r="D2" s="2" t="n">
        <v>21</v>
      </c>
    </row>
    <row r="3">
      <c r="A3" s="2" t="n">
        <v>2027</v>
      </c>
      <c r="B3" s="2" t="n">
        <v>9.1</v>
      </c>
      <c r="C3" s="2" t="n">
        <v>15.4</v>
      </c>
      <c r="D3" s="2" t="n">
        <v>23.9</v>
      </c>
    </row>
    <row r="4">
      <c r="A4" s="2" t="n">
        <v>2028</v>
      </c>
      <c r="B4" s="2" t="n">
        <v>10.2</v>
      </c>
      <c r="C4" s="2" t="n">
        <v>17.3</v>
      </c>
      <c r="D4" s="2" t="n">
        <v>26.9</v>
      </c>
    </row>
    <row r="5">
      <c r="A5" s="2" t="n">
        <v>2029</v>
      </c>
      <c r="B5" s="2" t="n">
        <v>11.4</v>
      </c>
      <c r="C5" s="2" t="n">
        <v>19.3</v>
      </c>
      <c r="D5" s="2" t="n">
        <v>30</v>
      </c>
    </row>
    <row r="6">
      <c r="A6" s="2" t="n">
        <v>2030</v>
      </c>
      <c r="B6" s="2" t="n">
        <v>12.6</v>
      </c>
      <c r="C6" s="2" t="n">
        <v>21.3</v>
      </c>
      <c r="D6" s="2" t="n">
        <v>33.2</v>
      </c>
    </row>
    <row r="7">
      <c r="A7" s="2" t="n">
        <v>2031</v>
      </c>
      <c r="B7" s="2" t="n">
        <v>13.8</v>
      </c>
      <c r="C7" s="2" t="n">
        <v>23.4</v>
      </c>
      <c r="D7" s="2" t="n">
        <v>36.3</v>
      </c>
    </row>
    <row r="8">
      <c r="A8" s="2" t="n">
        <v>2032</v>
      </c>
      <c r="B8" s="2" t="n">
        <v>15</v>
      </c>
      <c r="C8" s="2" t="n">
        <v>25.4</v>
      </c>
      <c r="D8" s="2" t="n">
        <v>39.5</v>
      </c>
    </row>
    <row r="9">
      <c r="A9" s="2" t="n">
        <v>2033</v>
      </c>
      <c r="B9" s="2" t="n">
        <v>16.2</v>
      </c>
      <c r="C9" s="2" t="n">
        <v>27.4</v>
      </c>
      <c r="D9" s="2" t="n">
        <v>42.6</v>
      </c>
    </row>
    <row r="10">
      <c r="A10" s="2" t="n">
        <v>2034</v>
      </c>
      <c r="B10" s="2" t="n">
        <v>17.4</v>
      </c>
      <c r="C10" s="2" t="n">
        <v>29.4</v>
      </c>
      <c r="D10" s="2" t="n">
        <v>45.8</v>
      </c>
    </row>
    <row r="11">
      <c r="A11" s="2" t="n">
        <v>2035</v>
      </c>
      <c r="B11" s="2" t="n">
        <v>18.7</v>
      </c>
      <c r="C11" s="2" t="n">
        <v>31.6</v>
      </c>
      <c r="D11" s="2" t="n">
        <v>49.1</v>
      </c>
    </row>
    <row r="12">
      <c r="A12" s="2" t="n">
        <v>2036</v>
      </c>
      <c r="B12" s="2" t="n">
        <v>20</v>
      </c>
      <c r="C12" s="2" t="n">
        <v>33.8</v>
      </c>
      <c r="D12" s="2" t="n">
        <v>52.5</v>
      </c>
    </row>
    <row r="13">
      <c r="A13" s="2" t="n">
        <v>2037</v>
      </c>
      <c r="B13" s="2" t="n">
        <v>21.3</v>
      </c>
      <c r="C13" s="2" t="n">
        <v>35.9</v>
      </c>
      <c r="D13" s="2" t="n">
        <v>55.9</v>
      </c>
    </row>
    <row r="14">
      <c r="A14" s="2" t="n">
        <v>2038</v>
      </c>
      <c r="B14" s="2" t="n">
        <v>22.6</v>
      </c>
      <c r="C14" s="2" t="n">
        <v>38.1</v>
      </c>
      <c r="D14" s="2" t="n">
        <v>59.2</v>
      </c>
    </row>
    <row r="15">
      <c r="A15" s="2" t="n">
        <v>2039</v>
      </c>
      <c r="B15" s="2" t="n">
        <v>23.8</v>
      </c>
      <c r="C15" s="2" t="n">
        <v>40.2</v>
      </c>
      <c r="D15" s="2" t="n">
        <v>62.6</v>
      </c>
    </row>
    <row r="16">
      <c r="A16" s="2" t="n">
        <v>2040</v>
      </c>
      <c r="B16" s="2" t="n">
        <v>25.1</v>
      </c>
      <c r="C16" s="2" t="n">
        <v>42.4</v>
      </c>
      <c r="D16" s="2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Source/Note</t>
        </is>
      </c>
    </row>
    <row r="2">
      <c r="A2" s="2" t="inlineStr">
        <is>
          <t>Site name</t>
        </is>
      </c>
      <c r="B2" s="2" t="inlineStr">
        <is>
          <t>Phrae Gate Door to Northern</t>
        </is>
      </c>
      <c r="C2" s="2" t="inlineStr">
        <is>
          <t>Input</t>
        </is>
      </c>
    </row>
    <row r="3">
      <c r="A3" s="2" t="inlineStr">
        <is>
          <t>Address</t>
        </is>
      </c>
      <c r="B3" s="2" t="inlineStr">
        <is>
          <t>X368+7R3, Den Chai, Den Chai District, Phrae 54110</t>
        </is>
      </c>
      <c r="C3" s="2" t="inlineStr">
        <is>
          <t>Input</t>
        </is>
      </c>
    </row>
    <row r="4">
      <c r="A4" s="2" t="inlineStr">
        <is>
          <t>Latitude</t>
        </is>
      </c>
      <c r="B4" s="2" t="n">
        <v>17.959748</v>
      </c>
      <c r="C4" s="2" t="inlineStr">
        <is>
          <t>Input</t>
        </is>
      </c>
    </row>
    <row r="5">
      <c r="A5" s="2" t="inlineStr">
        <is>
          <t>Longitude</t>
        </is>
      </c>
      <c r="B5" s="2" t="n">
        <v>100.066848</v>
      </c>
      <c r="C5" s="2" t="inlineStr">
        <is>
          <t>Input</t>
        </is>
      </c>
    </row>
    <row r="6">
      <c r="A6" s="2" t="inlineStr">
        <is>
          <t>Zone profile</t>
        </is>
      </c>
      <c r="B6" s="2" t="inlineStr">
        <is>
          <t>North Highway Corridor / Northern Secondary</t>
        </is>
      </c>
      <c r="C6" s="2" t="inlineStr">
        <is>
          <t>EV Hub profile adapted</t>
        </is>
      </c>
    </row>
    <row r="7">
      <c r="A7" s="2" t="inlineStr">
        <is>
          <t>Station typology</t>
        </is>
      </c>
      <c r="B7" s="2" t="inlineStr">
        <is>
          <t>Roadside gateway / community travel stop</t>
        </is>
      </c>
      <c r="C7" s="2" t="inlineStr">
        <is>
          <t>Dominant corridor with local support</t>
        </is>
      </c>
    </row>
    <row r="8">
      <c r="A8" s="2" t="inlineStr">
        <is>
          <t>Phase 1 package</t>
        </is>
      </c>
      <c r="B8" s="2" t="inlineStr">
        <is>
          <t>INT-S-2-180</t>
        </is>
      </c>
      <c r="C8" s="2" t="inlineStr">
        <is>
          <t>SINEXEL price list</t>
        </is>
      </c>
    </row>
    <row r="9">
      <c r="A9" s="2" t="inlineStr">
        <is>
          <t>Phase 1 CAPEX package</t>
        </is>
      </c>
      <c r="B9" s="2" t="n">
        <v>2163300</v>
      </c>
      <c r="C9" s="2" t="inlineStr">
        <is>
          <t>Before 5% contingency</t>
        </is>
      </c>
    </row>
    <row r="10">
      <c r="A10" s="2" t="inlineStr">
        <is>
          <t>Upgrade package</t>
        </is>
      </c>
      <c r="B10" s="2" t="inlineStr">
        <is>
          <t>INT-M-4-180</t>
        </is>
      </c>
      <c r="C10" s="2" t="inlineStr">
        <is>
          <t>4 ports if utilization confirms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34" customWidth="1" min="8" max="8"/>
  </cols>
  <sheetData>
    <row r="1">
      <c r="A1" s="1" t="inlineStr">
        <is>
          <t>year_be</t>
        </is>
      </c>
      <c r="B1" s="1" t="inlineStr">
        <is>
          <t>route</t>
        </is>
      </c>
      <c r="C1" s="1" t="inlineStr">
        <is>
          <t>name</t>
        </is>
      </c>
      <c r="D1" s="1" t="inlineStr">
        <is>
          <t>km</t>
        </is>
      </c>
      <c r="E1" s="1" t="inlineStr">
        <is>
          <t>aadt</t>
        </is>
      </c>
      <c r="F1" s="1" t="inlineStr">
        <is>
          <t>province</t>
        </is>
      </c>
      <c r="G1" s="1" t="inlineStr">
        <is>
          <t>source</t>
        </is>
      </c>
      <c r="H1" s="1" t="inlineStr">
        <is>
          <t>notes</t>
        </is>
      </c>
    </row>
    <row r="2">
      <c r="A2" s="2" t="n">
        <v>2566</v>
      </c>
      <c r="B2" s="2" t="n">
        <v>101</v>
      </c>
      <c r="C2" s="2" t="inlineStr">
        <is>
          <t>Na Laem - Nong Ha</t>
        </is>
      </c>
      <c r="D2" s="2" t="inlineStr">
        <is>
          <t>259+511</t>
        </is>
      </c>
      <c r="E2" s="2" t="n">
        <v>19509</v>
      </c>
      <c r="F2" s="2" t="inlineStr">
        <is>
          <t>Phrae</t>
        </is>
      </c>
      <c r="G2" s="2" t="inlineStr">
        <is>
          <t>DOH aadt_2566.csv</t>
        </is>
      </c>
      <c r="H2" s="2" t="inlineStr">
        <is>
          <t>Highest available Phrae AADT point in current dataset.</t>
        </is>
      </c>
    </row>
    <row r="3">
      <c r="A3" s="2" t="n">
        <v>2566</v>
      </c>
      <c r="B3" s="2" t="n">
        <v>101</v>
      </c>
      <c r="C3" s="2" t="inlineStr">
        <is>
          <t>Pak Chua Junction - Charoen Rat Junction</t>
        </is>
      </c>
      <c r="D3" s="2" t="inlineStr">
        <is>
          <t>229+872</t>
        </is>
      </c>
      <c r="E3" s="2" t="n">
        <v>14374</v>
      </c>
      <c r="F3" s="2" t="inlineStr">
        <is>
          <t>Phrae</t>
        </is>
      </c>
      <c r="G3" s="2" t="inlineStr">
        <is>
          <t>DOH aadt_2566.csv</t>
        </is>
      </c>
      <c r="H3" s="2" t="inlineStr">
        <is>
          <t>Route 101 city/province corridor count.</t>
        </is>
      </c>
    </row>
    <row r="4">
      <c r="A4" s="2" t="n">
        <v>2566</v>
      </c>
      <c r="B4" s="2" t="n">
        <v>11</v>
      </c>
      <c r="C4" s="2" t="inlineStr">
        <is>
          <t>Nong Nam Khiao - Pang Kho</t>
        </is>
      </c>
      <c r="D4" s="2" t="inlineStr">
        <is>
          <t>369+006</t>
        </is>
      </c>
      <c r="E4" s="2" t="n">
        <v>11849</v>
      </c>
      <c r="F4" s="2" t="inlineStr">
        <is>
          <t>Phrae</t>
        </is>
      </c>
      <c r="G4" s="2" t="inlineStr">
        <is>
          <t>DOH aadt_2566.csv</t>
        </is>
      </c>
      <c r="H4" s="2" t="inlineStr">
        <is>
          <t>Route 11 Den Chai/Lampang-Uttaradit corridor relevance.</t>
        </is>
      </c>
    </row>
    <row r="5">
      <c r="A5" s="2" t="n">
        <v>2566</v>
      </c>
      <c r="B5" s="2" t="n">
        <v>103</v>
      </c>
      <c r="C5" s="2" t="inlineStr">
        <is>
          <t>Mae Yang Ho - Mae Tip</t>
        </is>
      </c>
      <c r="D5" s="2" t="inlineStr">
        <is>
          <t>9+200</t>
        </is>
      </c>
      <c r="E5" s="2" t="n">
        <v>11319</v>
      </c>
      <c r="F5" s="2" t="inlineStr">
        <is>
          <t>Phrae</t>
        </is>
      </c>
      <c r="G5" s="2" t="inlineStr">
        <is>
          <t>DOH aadt_2566.csv</t>
        </is>
      </c>
      <c r="H5" s="2" t="inlineStr">
        <is>
          <t>Route 103 local/interdistrict connector.</t>
        </is>
      </c>
    </row>
    <row r="6">
      <c r="A6" s="2" t="n">
        <v>2566</v>
      </c>
      <c r="B6" s="2" t="n">
        <v>129</v>
      </c>
      <c r="C6" s="2" t="inlineStr">
        <is>
          <t>Phrae bypass</t>
        </is>
      </c>
      <c r="D6" s="2" t="inlineStr">
        <is>
          <t>8+939</t>
        </is>
      </c>
      <c r="E6" s="2" t="n">
        <v>10921</v>
      </c>
      <c r="F6" s="2" t="inlineStr">
        <is>
          <t>Phrae</t>
        </is>
      </c>
      <c r="G6" s="2" t="inlineStr">
        <is>
          <t>DOH aadt_2566.csv</t>
        </is>
      </c>
      <c r="H6" s="2" t="inlineStr">
        <is>
          <t>Phrae city bypass count.</t>
        </is>
      </c>
    </row>
    <row r="7">
      <c r="A7" s="2" t="n">
        <v>2566</v>
      </c>
      <c r="B7" s="2" t="n">
        <v>103</v>
      </c>
      <c r="C7" s="2" t="inlineStr">
        <is>
          <t>Mae Yang Ho - Mae Tip</t>
        </is>
      </c>
      <c r="D7" s="2" t="inlineStr">
        <is>
          <t>33+218</t>
        </is>
      </c>
      <c r="E7" s="2" t="n">
        <v>10648</v>
      </c>
      <c r="F7" s="2" t="inlineStr">
        <is>
          <t>Phrae</t>
        </is>
      </c>
      <c r="G7" s="2" t="inlineStr">
        <is>
          <t>DOH aadt_2566.csv</t>
        </is>
      </c>
      <c r="H7" s="2" t="inlineStr">
        <is>
          <t>Secondary Route 103 point.</t>
        </is>
      </c>
    </row>
    <row r="8">
      <c r="A8" s="2" t="n">
        <v>2566</v>
      </c>
      <c r="B8" s="2" t="n">
        <v>1154</v>
      </c>
      <c r="C8" s="2" t="inlineStr">
        <is>
          <t>Song - Kaeng Suea Ten</t>
        </is>
      </c>
      <c r="D8" s="2" t="inlineStr">
        <is>
          <t>4+856</t>
        </is>
      </c>
      <c r="E8" s="2" t="n">
        <v>8940</v>
      </c>
      <c r="F8" s="2" t="inlineStr">
        <is>
          <t>Phrae</t>
        </is>
      </c>
      <c r="G8" s="2" t="inlineStr">
        <is>
          <t>DOH aadt_2566.csv</t>
        </is>
      </c>
      <c r="H8" s="2" t="inlineStr">
        <is>
          <t>Northern district/tourism corridor.</t>
        </is>
      </c>
    </row>
    <row r="9">
      <c r="A9" s="2" t="n">
        <v>2566</v>
      </c>
      <c r="B9" s="2" t="n">
        <v>1120</v>
      </c>
      <c r="C9" s="2" t="inlineStr">
        <is>
          <t>Song - Mae Ten</t>
        </is>
      </c>
      <c r="D9" s="2" t="inlineStr">
        <is>
          <t>2+000</t>
        </is>
      </c>
      <c r="E9" s="2" t="n">
        <v>6976</v>
      </c>
      <c r="F9" s="2" t="inlineStr">
        <is>
          <t>Phrae</t>
        </is>
      </c>
      <c r="G9" s="2" t="inlineStr">
        <is>
          <t>DOH aadt_2566.csv</t>
        </is>
      </c>
      <c r="H9" s="2" t="inlineStr">
        <is>
          <t>District connector count.</t>
        </is>
      </c>
    </row>
    <row r="10">
      <c r="A10" s="2" t="n">
        <v>2566</v>
      </c>
      <c r="B10" s="2" t="n">
        <v>101</v>
      </c>
      <c r="C10" s="2" t="inlineStr">
        <is>
          <t>Nong Ha - Suan Pa</t>
        </is>
      </c>
      <c r="D10" s="2" t="inlineStr">
        <is>
          <t>274+772</t>
        </is>
      </c>
      <c r="E10" s="2" t="n">
        <v>6733</v>
      </c>
      <c r="F10" s="2" t="inlineStr">
        <is>
          <t>Phrae</t>
        </is>
      </c>
      <c r="G10" s="2" t="inlineStr">
        <is>
          <t>DOH aadt_2566.csv</t>
        </is>
      </c>
      <c r="H10" s="2" t="inlineStr">
        <is>
          <t>Route 101 secondary point.</t>
        </is>
      </c>
    </row>
    <row r="11">
      <c r="A11" s="2" t="n">
        <v>2566</v>
      </c>
      <c r="B11" s="2" t="n">
        <v>1419</v>
      </c>
      <c r="C11" s="2" t="inlineStr">
        <is>
          <t>Den Chai entrance</t>
        </is>
      </c>
      <c r="D11" s="2" t="inlineStr">
        <is>
          <t>4+608</t>
        </is>
      </c>
      <c r="E11" s="2" t="n">
        <v>4809</v>
      </c>
      <c r="F11" s="2" t="inlineStr">
        <is>
          <t>Phrae</t>
        </is>
      </c>
      <c r="G11" s="2" t="inlineStr">
        <is>
          <t>DOH aadt_2566.csv</t>
        </is>
      </c>
      <c r="H11" s="2" t="inlineStr">
        <is>
          <t>Direct Den Chai entrance count; local count is modest but strategic gateway role is higher.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20" customWidth="1" min="3" max="3"/>
    <col width="12" customWidth="1" min="4" max="4"/>
    <col width="12" customWidth="1" min="5" max="5"/>
    <col width="13" customWidth="1" min="6" max="6"/>
    <col width="13" customWidth="1" min="7" max="7"/>
    <col width="34" customWidth="1" min="8" max="8"/>
  </cols>
  <sheetData>
    <row r="1">
      <c r="A1" s="1" t="inlineStr">
        <is>
          <t>poi_id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distance_km</t>
        </is>
      </c>
      <c r="G1" s="1" t="inlineStr">
        <is>
          <t>confidence</t>
        </is>
      </c>
      <c r="H1" s="1" t="inlineStr">
        <is>
          <t>notes</t>
        </is>
      </c>
    </row>
    <row r="2">
      <c r="A2" s="2" t="inlineStr">
        <is>
          <t>den_chai_route11_101_axis</t>
        </is>
      </c>
      <c r="B2" s="2" t="inlineStr">
        <is>
          <t>Den Chai Route 11/101 road axis</t>
        </is>
      </c>
      <c r="C2" s="2" t="inlineStr">
        <is>
          <t>transport_corridor</t>
        </is>
      </c>
      <c r="D2" s="2" t="n">
        <v>17.98</v>
      </c>
      <c r="E2" s="2" t="n">
        <v>100.05</v>
      </c>
      <c r="F2" s="2" t="n">
        <v>2.87</v>
      </c>
      <c r="G2" s="2" t="inlineStr">
        <is>
          <t>medium</t>
        </is>
      </c>
      <c r="H2" s="2" t="inlineStr">
        <is>
          <t>Route 11 and 101 gateway proxy around Den Chai.</t>
        </is>
      </c>
    </row>
    <row r="3">
      <c r="A3" s="2" t="inlineStr">
        <is>
          <t>den_chai_railway_station</t>
        </is>
      </c>
      <c r="B3" s="2" t="inlineStr">
        <is>
          <t>Den Chai Railway Station</t>
        </is>
      </c>
      <c r="C3" s="2" t="inlineStr">
        <is>
          <t>transport</t>
        </is>
      </c>
      <c r="D3" s="2" t="n">
        <v>17.984</v>
      </c>
      <c r="E3" s="2" t="n">
        <v>100.052</v>
      </c>
      <c r="F3" s="2" t="n">
        <v>3.12</v>
      </c>
      <c r="G3" s="2" t="inlineStr">
        <is>
          <t>medium_high</t>
        </is>
      </c>
      <c r="H3" s="2" t="inlineStr">
        <is>
          <t>Main railway station serving Phrae province; important road/rail gateway anchor.</t>
        </is>
      </c>
    </row>
    <row r="4">
      <c r="A4" s="2" t="inlineStr">
        <is>
          <t>sung_men_district</t>
        </is>
      </c>
      <c r="B4" s="2" t="inlineStr">
        <is>
          <t>Sung Men district center</t>
        </is>
      </c>
      <c r="C4" s="2" t="inlineStr">
        <is>
          <t>district_center</t>
        </is>
      </c>
      <c r="D4" s="2" t="n">
        <v>18.05</v>
      </c>
      <c r="E4" s="2" t="n">
        <v>100.11</v>
      </c>
      <c r="F4" s="2" t="n">
        <v>11.02</v>
      </c>
      <c r="G4" s="2" t="inlineStr">
        <is>
          <t>low_medium</t>
        </is>
      </c>
      <c r="H4" s="2" t="inlineStr">
        <is>
          <t>Large district south of Mueang Phrae; local demand proxy.</t>
        </is>
      </c>
    </row>
    <row r="5">
      <c r="A5" s="2" t="inlineStr">
        <is>
          <t>route129_bypass_axis</t>
        </is>
      </c>
      <c r="B5" s="2" t="inlineStr">
        <is>
          <t>Route 129 Phrae bypass axis</t>
        </is>
      </c>
      <c r="C5" s="2" t="inlineStr">
        <is>
          <t>transport_corridor</t>
        </is>
      </c>
      <c r="D5" s="2" t="n">
        <v>18.13</v>
      </c>
      <c r="E5" s="2" t="n">
        <v>100.11</v>
      </c>
      <c r="F5" s="2" t="n">
        <v>19.47</v>
      </c>
      <c r="G5" s="2" t="inlineStr">
        <is>
          <t>medium</t>
        </is>
      </c>
      <c r="H5" s="2" t="inlineStr">
        <is>
          <t>Bypass and city-edge roadside screening anchor.</t>
        </is>
      </c>
    </row>
    <row r="6">
      <c r="A6" s="2" t="inlineStr">
        <is>
          <t>robinson_lifestyle_phrae_seed</t>
        </is>
      </c>
      <c r="B6" s="2" t="inlineStr">
        <is>
          <t>Robinson/Lifestyle retail Phrae candidate</t>
        </is>
      </c>
      <c r="C6" s="2" t="inlineStr">
        <is>
          <t>shopping_mall</t>
        </is>
      </c>
      <c r="D6" s="2" t="n">
        <v>18.12</v>
      </c>
      <c r="E6" s="2" t="n">
        <v>100.145</v>
      </c>
      <c r="F6" s="2" t="n">
        <v>19.64</v>
      </c>
      <c r="G6" s="2" t="inlineStr">
        <is>
          <t>low</t>
        </is>
      </c>
      <c r="H6" s="2" t="inlineStr">
        <is>
          <t>Retail anchor placeholder; verify exact branch/pin and charger presence.</t>
        </is>
      </c>
    </row>
    <row r="7">
      <c r="A7" s="2" t="inlineStr">
        <is>
          <t>phrae_bus_terminal</t>
        </is>
      </c>
      <c r="B7" s="2" t="inlineStr">
        <is>
          <t>Phrae Bus Terminal</t>
        </is>
      </c>
      <c r="C7" s="2" t="inlineStr">
        <is>
          <t>transport</t>
        </is>
      </c>
      <c r="D7" s="2" t="n">
        <v>18.143</v>
      </c>
      <c r="E7" s="2" t="n">
        <v>100.142</v>
      </c>
      <c r="F7" s="2" t="n">
        <v>21.87</v>
      </c>
      <c r="G7" s="2" t="inlineStr">
        <is>
          <t>low_medium</t>
        </is>
      </c>
      <c r="H7" s="2" t="inlineStr">
        <is>
          <t>City transport node; verify exact pin before final site analysis.</t>
        </is>
      </c>
    </row>
    <row r="8">
      <c r="A8" s="2" t="inlineStr">
        <is>
          <t>phrae_city_center</t>
        </is>
      </c>
      <c r="B8" s="2" t="inlineStr">
        <is>
          <t>Phrae city center</t>
        </is>
      </c>
      <c r="C8" s="2" t="inlineStr">
        <is>
          <t>city_center</t>
        </is>
      </c>
      <c r="D8" s="2" t="n">
        <v>18.145</v>
      </c>
      <c r="E8" s="2" t="n">
        <v>100.14</v>
      </c>
      <c r="F8" s="2" t="n">
        <v>22</v>
      </c>
      <c r="G8" s="2" t="inlineStr">
        <is>
          <t>medium</t>
        </is>
      </c>
      <c r="H8" s="2" t="inlineStr">
        <is>
          <t>City-level coordinate anchor for first-pass screening.</t>
        </is>
      </c>
    </row>
    <row r="9">
      <c r="A9" s="2" t="inlineStr">
        <is>
          <t>kad_kong_kao_old_town</t>
        </is>
      </c>
      <c r="B9" s="2" t="inlineStr">
        <is>
          <t>Kad Kong Kao / Phrae old town</t>
        </is>
      </c>
      <c r="C9" s="2" t="inlineStr">
        <is>
          <t>tourism</t>
        </is>
      </c>
      <c r="D9" s="2" t="n">
        <v>18.145</v>
      </c>
      <c r="E9" s="2" t="n">
        <v>100.14</v>
      </c>
      <c r="F9" s="2" t="n">
        <v>22</v>
      </c>
      <c r="G9" s="2" t="inlineStr">
        <is>
          <t>medium</t>
        </is>
      </c>
      <c r="H9" s="2" t="inlineStr">
        <is>
          <t>Old-town, tourism, retail, and restaurant demand proxy.</t>
        </is>
      </c>
    </row>
    <row r="10">
      <c r="A10" s="2" t="inlineStr">
        <is>
          <t>phrae_hospital</t>
        </is>
      </c>
      <c r="B10" s="2" t="inlineStr">
        <is>
          <t>Phrae Hospital</t>
        </is>
      </c>
      <c r="C10" s="2" t="inlineStr">
        <is>
          <t>hospital</t>
        </is>
      </c>
      <c r="D10" s="2" t="n">
        <v>18.145</v>
      </c>
      <c r="E10" s="2" t="n">
        <v>100.15</v>
      </c>
      <c r="F10" s="2" t="n">
        <v>22.4</v>
      </c>
      <c r="G10" s="2" t="inlineStr">
        <is>
          <t>low_medium</t>
        </is>
      </c>
      <c r="H10" s="2" t="inlineStr">
        <is>
          <t>Hospital/government demand proxy near city core.</t>
        </is>
      </c>
    </row>
    <row r="11">
      <c r="A11" s="2" t="inlineStr">
        <is>
          <t>wat_phra_that_cho_hae</t>
        </is>
      </c>
      <c r="B11" s="2" t="inlineStr">
        <is>
          <t>Wat Phra That Cho Hae</t>
        </is>
      </c>
      <c r="C11" s="2" t="inlineStr">
        <is>
          <t>tourism</t>
        </is>
      </c>
      <c r="D11" s="2" t="n">
        <v>18.125</v>
      </c>
      <c r="E11" s="2" t="n">
        <v>100.237</v>
      </c>
      <c r="F11" s="2" t="n">
        <v>25.72</v>
      </c>
      <c r="G11" s="2" t="inlineStr">
        <is>
          <t>medium</t>
        </is>
      </c>
      <c r="H11" s="2" t="inlineStr">
        <is>
          <t>Major Phrae tourism anchor east of city.</t>
        </is>
      </c>
    </row>
    <row r="12">
      <c r="A12" s="2" t="inlineStr">
        <is>
          <t>long_district</t>
        </is>
      </c>
      <c r="B12" s="2" t="inlineStr">
        <is>
          <t>Long district center</t>
        </is>
      </c>
      <c r="C12" s="2" t="inlineStr">
        <is>
          <t>district_center</t>
        </is>
      </c>
      <c r="D12" s="2" t="n">
        <v>18.08</v>
      </c>
      <c r="E12" s="2" t="n">
        <v>99.83</v>
      </c>
      <c r="F12" s="2" t="n">
        <v>28.39</v>
      </c>
      <c r="G12" s="2" t="inlineStr">
        <is>
          <t>low_medium</t>
        </is>
      </c>
      <c r="H12" s="2" t="inlineStr">
        <is>
          <t>District and route/tourism demand proxy.</t>
        </is>
      </c>
    </row>
    <row r="13">
      <c r="A13" s="2" t="inlineStr">
        <is>
          <t>route101_na_laem_axis</t>
        </is>
      </c>
      <c r="B13" s="2" t="inlineStr">
        <is>
          <t>Route 101 Na Laem - Nong Ha axis</t>
        </is>
      </c>
      <c r="C13" s="2" t="inlineStr">
        <is>
          <t>transport_corridor</t>
        </is>
      </c>
      <c r="D13" s="2" t="n">
        <v>18.22</v>
      </c>
      <c r="E13" s="2" t="n">
        <v>100.17</v>
      </c>
      <c r="F13" s="2" t="n">
        <v>30.92</v>
      </c>
      <c r="G13" s="2" t="inlineStr">
        <is>
          <t>medium</t>
        </is>
      </c>
      <c r="H13" s="2" t="inlineStr">
        <is>
          <t>Highest-AADT Route 101 screening anchor.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12" customWidth="1" min="3" max="3"/>
    <col width="17" customWidth="1" min="4" max="4"/>
    <col width="12" customWidth="1" min="5" max="5"/>
    <col width="12" customWidth="1" min="6" max="6"/>
    <col width="13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station_id</t>
        </is>
      </c>
      <c r="B1" s="1" t="inlineStr">
        <is>
          <t>name</t>
        </is>
      </c>
      <c r="C1" s="1" t="inlineStr">
        <is>
          <t>operator</t>
        </is>
      </c>
      <c r="D1" s="1" t="inlineStr">
        <is>
          <t>network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distance_km</t>
        </is>
      </c>
      <c r="H1" s="1" t="inlineStr">
        <is>
          <t>verification_status</t>
        </is>
      </c>
      <c r="I1" s="1" t="inlineStr">
        <is>
          <t>power_summary</t>
        </is>
      </c>
      <c r="J1" s="1" t="inlineStr">
        <is>
          <t>notes</t>
        </is>
      </c>
    </row>
    <row r="2">
      <c r="A2" s="2" t="inlineStr">
        <is>
          <t>pea_volta_phrae_2</t>
        </is>
      </c>
      <c r="B2" s="2" t="inlineStr">
        <is>
          <t>PEA VOLTA Phrae #2</t>
        </is>
      </c>
      <c r="C2" s="2" t="inlineStr">
        <is>
          <t>PEA</t>
        </is>
      </c>
      <c r="D2" s="2" t="inlineStr">
        <is>
          <t>PEA VOLTA</t>
        </is>
      </c>
      <c r="E2" s="2" t="n">
        <v/>
      </c>
      <c r="F2" s="2" t="n">
        <v/>
      </c>
      <c r="G2" s="2" t="n">
        <v/>
      </c>
      <c r="H2" s="2" t="inlineStr">
        <is>
          <t>public_listing_needs_operator_verification</t>
        </is>
      </c>
      <c r="I2" s="2" t="inlineStr">
        <is>
          <t>unknown</t>
        </is>
      </c>
      <c r="J2" s="2" t="inlineStr">
        <is>
          <t>Public listing indicates PEA VOLTA Phrae #2. Verify exact pin, live status, connector count, kW, and public access in PEA VOLTA app.</t>
        </is>
      </c>
    </row>
    <row r="3">
      <c r="A3" s="2" t="inlineStr">
        <is>
          <t>pea_volta_phrae_seed</t>
        </is>
      </c>
      <c r="B3" s="2" t="inlineStr">
        <is>
          <t>PEA VOLTA Phrae area station</t>
        </is>
      </c>
      <c r="C3" s="2" t="inlineStr">
        <is>
          <t>PEA</t>
        </is>
      </c>
      <c r="D3" s="2" t="inlineStr">
        <is>
          <t>PEA VOLTA</t>
        </is>
      </c>
      <c r="E3" s="2" t="n">
        <v/>
      </c>
      <c r="F3" s="2" t="n">
        <v/>
      </c>
      <c r="G3" s="2" t="n">
        <v/>
      </c>
      <c r="H3" s="2" t="inlineStr">
        <is>
          <t>seed_needs_verification</t>
        </is>
      </c>
      <c r="I3" s="2" t="inlineStr">
        <is>
          <t>PEA VOLTA app/site should be checked for Phrae and Den Chai station pins, guns, and power</t>
        </is>
      </c>
      <c r="J3" s="2" t="inlineStr">
        <is>
          <t>Placeholder for province-wide PEA VOLTA audit.</t>
        </is>
      </c>
    </row>
    <row r="4">
      <c r="A4" s="2" t="inlineStr">
        <is>
          <t>ev_station_pluz_phrae_seed</t>
        </is>
      </c>
      <c r="B4" s="2" t="inlineStr">
        <is>
          <t>EV Station PluZ Phrae / Den Chai route candidate</t>
        </is>
      </c>
      <c r="C4" s="2" t="inlineStr">
        <is>
          <t>OR</t>
        </is>
      </c>
      <c r="D4" s="2" t="inlineStr">
        <is>
          <t>EV Station PluZ</t>
        </is>
      </c>
      <c r="E4" s="2" t="n">
        <v/>
      </c>
      <c r="F4" s="2" t="n">
        <v/>
      </c>
      <c r="G4" s="2" t="n">
        <v/>
      </c>
      <c r="H4" s="2" t="inlineStr">
        <is>
          <t>seed_needs_verification</t>
        </is>
      </c>
      <c r="I4" s="2" t="inlineStr">
        <is>
          <t>EV Station PluZ app/Google Maps should be checked for Route 11/101 and Den Chai coverage</t>
        </is>
      </c>
      <c r="J4" s="2" t="inlineStr">
        <is>
          <t>Route/gas-station chargers may materially affect Den Chai gateway capture.</t>
        </is>
      </c>
    </row>
    <row r="5">
      <c r="A5" s="2" t="inlineStr">
        <is>
          <t>den_chai_station_charger_seed</t>
        </is>
      </c>
      <c r="B5" s="2" t="inlineStr">
        <is>
          <t>Den Chai railway/road gateway charger candidate</t>
        </is>
      </c>
      <c r="C5" s="2" t="inlineStr">
        <is>
          <t>unknown</t>
        </is>
      </c>
      <c r="D5" s="2" t="inlineStr">
        <is>
          <t>unknown</t>
        </is>
      </c>
      <c r="E5" s="2" t="n">
        <v>17.984</v>
      </c>
      <c r="F5" s="2" t="n">
        <v>100.052</v>
      </c>
      <c r="G5" s="2" t="n">
        <v>3.12</v>
      </c>
      <c r="H5" s="2" t="inlineStr">
        <is>
          <t>poi_charger_unverified</t>
        </is>
      </c>
      <c r="I5" s="2" t="inlineStr">
        <is>
          <t>unknown</t>
        </is>
      </c>
      <c r="J5" s="2" t="inlineStr">
        <is>
          <t>Use as audit target because a charger near Den Chai could absorb road and rail-adjacent demand.</t>
        </is>
      </c>
    </row>
    <row r="6">
      <c r="A6" s="2" t="inlineStr">
        <is>
          <t>route11_bangchak_ptt_seed</t>
        </is>
      </c>
      <c r="B6" s="2" t="inlineStr">
        <is>
          <t>Route 11 gas-station charger candidate</t>
        </is>
      </c>
      <c r="C6" s="2" t="inlineStr">
        <is>
          <t>unknown</t>
        </is>
      </c>
      <c r="D6" s="2" t="inlineStr">
        <is>
          <t>unknown</t>
        </is>
      </c>
      <c r="E6" s="2" t="n">
        <v/>
      </c>
      <c r="F6" s="2" t="n">
        <v/>
      </c>
      <c r="G6" s="2" t="n">
        <v/>
      </c>
      <c r="H6" s="2" t="inlineStr">
        <is>
          <t>Rest-stop DC competition is especially important for Den Chai.</t>
        </is>
      </c>
      <c r="I6" s="2" t="inlineStr">
        <is>
          <t>unknown</t>
        </is>
      </c>
      <c r="J6" s="2" t="n">
        <v/>
      </c>
    </row>
    <row r="7">
      <c r="A7" s="2" t="inlineStr">
        <is>
          <t>mg_supercharge_phrae_seed</t>
        </is>
      </c>
      <c r="B7" s="2" t="inlineStr">
        <is>
          <t>MG Super Charge Phrae dealer candidate</t>
        </is>
      </c>
      <c r="C7" s="2" t="inlineStr">
        <is>
          <t>MG</t>
        </is>
      </c>
      <c r="D7" s="2" t="inlineStr">
        <is>
          <t>MG Super Charge</t>
        </is>
      </c>
      <c r="E7" s="2" t="n">
        <v/>
      </c>
      <c r="F7" s="2" t="n">
        <v/>
      </c>
      <c r="G7" s="2" t="n">
        <v/>
      </c>
      <c r="H7" s="2" t="inlineStr">
        <is>
          <t>seed_needs_verification</t>
        </is>
      </c>
      <c r="I7" s="2" t="inlineStr">
        <is>
          <t>MG dealer public DC charger presence should be verified</t>
        </is>
      </c>
      <c r="J7" s="2" t="inlineStr">
        <is>
          <t>Dealer DC could affect city demand if public and reliable.</t>
        </is>
      </c>
    </row>
    <row r="8">
      <c r="A8" s="2" t="inlineStr">
        <is>
          <t>elexa_phrae_seed</t>
        </is>
      </c>
      <c r="B8" s="2" t="inlineStr">
        <is>
          <t>EleXA Phrae candidate</t>
        </is>
      </c>
      <c r="C8" s="2" t="inlineStr">
        <is>
          <t>EGAT</t>
        </is>
      </c>
      <c r="D8" s="2" t="inlineStr">
        <is>
          <t>EleXA</t>
        </is>
      </c>
      <c r="E8" s="2" t="n">
        <v/>
      </c>
      <c r="F8" s="2" t="n">
        <v/>
      </c>
      <c r="G8" s="2" t="n">
        <v/>
      </c>
      <c r="H8" s="2" t="inlineStr">
        <is>
          <t>seed_needs_verification</t>
        </is>
      </c>
      <c r="I8" s="2" t="inlineStr">
        <is>
          <t>EleXA app/Google Maps should be checked for Phrae/Den Chai</t>
        </is>
      </c>
      <c r="J8" s="2" t="inlineStr">
        <is>
          <t>Placeholder only.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3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Demand case</t>
        </is>
      </c>
      <c r="B2" s="2" t="inlineStr">
        <is>
          <t>Realistic TCE-owned</t>
        </is>
      </c>
      <c r="C2" s="2" t="inlineStr">
        <is>
          <t>Primary financial case</t>
        </is>
      </c>
    </row>
    <row r="3">
      <c r="A3" s="2" t="inlineStr">
        <is>
          <t>Phase 1 ports</t>
        </is>
      </c>
      <c r="B3" s="2" t="n">
        <v>2</v>
      </c>
      <c r="C3" s="2" t="inlineStr">
        <is>
          <t>Expansion-ready</t>
        </is>
      </c>
    </row>
    <row r="4">
      <c r="A4" s="2" t="inlineStr">
        <is>
          <t>Y1 realistic cars/day</t>
        </is>
      </c>
      <c r="B4" s="2" t="n">
        <v>13.5</v>
      </c>
      <c r="C4" s="2" t="inlineStr">
        <is>
          <t>Preliminary model</t>
        </is>
      </c>
    </row>
    <row r="5">
      <c r="A5" s="2" t="inlineStr">
        <is>
          <t>kWh/session</t>
        </is>
      </c>
      <c r="B5" s="2" t="n">
        <v>28</v>
      </c>
      <c r="C5" s="2" t="inlineStr">
        <is>
          <t>Northern highway corridor profile</t>
        </is>
      </c>
    </row>
    <row r="6">
      <c r="A6" s="2" t="inlineStr">
        <is>
          <t>Tariff THB/kWh</t>
        </is>
      </c>
      <c r="B6" s="2" t="n">
        <v>7.5</v>
      </c>
      <c r="C6" s="2" t="inlineStr">
        <is>
          <t>Y1</t>
        </is>
      </c>
    </row>
    <row r="7">
      <c r="A7" s="2" t="inlineStr">
        <is>
          <t>Tariff escalation</t>
        </is>
      </c>
      <c r="B7" s="2" t="n">
        <v>0.015</v>
      </c>
      <c r="C7" s="2" t="inlineStr">
        <is>
          <t>Annual</t>
        </is>
      </c>
    </row>
    <row r="8">
      <c r="A8" s="2" t="inlineStr">
        <is>
          <t>Electricity cost Y1 THB/kWh</t>
        </is>
      </c>
      <c r="B8" s="2" t="n">
        <v>4.5</v>
      </c>
      <c r="C8" s="2" t="inlineStr">
        <is>
          <t>PEA planning assumption</t>
        </is>
      </c>
    </row>
    <row r="9">
      <c r="A9" s="2" t="inlineStr">
        <is>
          <t>Electricity escalation</t>
        </is>
      </c>
      <c r="B9" s="2" t="n">
        <v>0.025</v>
      </c>
      <c r="C9" s="2" t="inlineStr">
        <is>
          <t>Annual</t>
        </is>
      </c>
    </row>
    <row r="10">
      <c r="A10" s="2" t="inlineStr">
        <is>
          <t>Site revenue share</t>
        </is>
      </c>
      <c r="B10" s="2" t="n">
        <v>0.08</v>
      </c>
      <c r="C10" s="2" t="inlineStr">
        <is>
          <t>Assumed until commercial term confirmed</t>
        </is>
      </c>
    </row>
    <row r="11">
      <c r="A11" s="2" t="inlineStr">
        <is>
          <t>CAPEX package</t>
        </is>
      </c>
      <c r="B11" s="2" t="n">
        <v>2163300</v>
      </c>
      <c r="C11" s="2" t="inlineStr">
        <is>
          <t>SINEXEL INT-S-2-180 customer CAPEX</t>
        </is>
      </c>
    </row>
    <row r="12">
      <c r="A12" s="2" t="inlineStr">
        <is>
          <t>Contingency</t>
        </is>
      </c>
      <c r="B12" s="2" t="n">
        <v>108165</v>
      </c>
      <c r="C12" s="2" t="inlineStr">
        <is>
          <t>5%</t>
        </is>
      </c>
    </row>
    <row r="13">
      <c r="A13" s="2" t="inlineStr">
        <is>
          <t>Total CAPEX used</t>
        </is>
      </c>
      <c r="B13" s="2" t="n">
        <v>2271465</v>
      </c>
      <c r="C13" s="2" t="inlineStr">
        <is>
          <t>Financial 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4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Comment</t>
        </is>
      </c>
    </row>
    <row r="2">
      <c r="A2" s="2" t="inlineStr">
        <is>
          <t>Check</t>
        </is>
      </c>
      <c r="B2" s="2" t="inlineStr">
        <is>
          <t>Status</t>
        </is>
      </c>
      <c r="C2" s="2" t="inlineStr">
        <is>
          <t>Comment</t>
        </is>
      </c>
    </row>
    <row r="3">
      <c r="A3" s="2" t="inlineStr">
        <is>
          <t>Coordinates</t>
        </is>
      </c>
      <c r="B3" s="2" t="inlineStr">
        <is>
          <t>OK</t>
        </is>
      </c>
      <c r="C3" s="2" t="inlineStr">
        <is>
          <t>User-provided pin used</t>
        </is>
      </c>
    </row>
    <row r="4">
      <c r="A4" s="2" t="inlineStr">
        <is>
          <t>DOPA/DLT</t>
        </is>
      </c>
      <c r="B4" s="2" t="inlineStr">
        <is>
          <t>OK</t>
        </is>
      </c>
      <c r="C4" s="2" t="inlineStr">
        <is>
          <t>Normalized EV Hub import</t>
        </is>
      </c>
    </row>
    <row r="5">
      <c r="A5" s="2" t="inlineStr">
        <is>
          <t>AADT</t>
        </is>
      </c>
      <c r="B5" s="2" t="inlineStr">
        <is>
          <t>Caution</t>
        </is>
      </c>
      <c r="C5" s="2" t="inlineStr">
        <is>
          <t>Route 11 gateway count plus Den Chai entrance count</t>
        </is>
      </c>
    </row>
    <row r="6">
      <c r="A6" s="2" t="inlineStr">
        <is>
          <t>Competitors</t>
        </is>
      </c>
      <c r="B6" s="2" t="inlineStr">
        <is>
          <t>Needs audit</t>
        </is>
      </c>
      <c r="C6" s="2" t="inlineStr">
        <is>
          <t>Exact pins/kW not verified</t>
        </is>
      </c>
    </row>
    <row r="7">
      <c r="A7" s="2" t="inlineStr">
        <is>
          <t>Grid/transformer</t>
        </is>
      </c>
      <c r="B7" s="2" t="inlineStr">
        <is>
          <t>Needs field check</t>
        </is>
      </c>
      <c r="C7" s="2" t="inlineStr">
        <is>
          <t>PEA and civil scope can materially change CAPEX</t>
        </is>
      </c>
    </row>
    <row r="8">
      <c r="A8" s="2" t="inlineStr">
        <is>
          <t>Investment use</t>
        </is>
      </c>
      <c r="B8" s="2" t="inlineStr">
        <is>
          <t>Preliminary</t>
        </is>
      </c>
      <c r="C8" s="2" t="inlineStr">
        <is>
          <t>TCE internal screening, not final IC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2026-06-02T06:30:48Z</dcterms:created>
  <dcterms:modified xmlns:dcterms="http://purl.org/dc/terms/" xmlns:xsi="http://www.w3.org/2001/XMLSchema-instance" xsi:type="dcterms:W3CDTF">2026-06-02T06:30:48Z</dcterms:modified>
</cp:coreProperties>
</file>