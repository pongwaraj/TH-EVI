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4" autoFilterDateGrouping="1"/>
  </bookViews>
  <sheets>
    <sheet xmlns:r="http://schemas.openxmlformats.org/officeDocument/2006/relationships" name="1.ภาพรวม" sheetId="1" state="visible" r:id="rId1"/>
    <sheet xmlns:r="http://schemas.openxmlformats.org/officeDocument/2006/relationships" name="2.สมมติฐาน" sheetId="2" state="visible" r:id="rId2"/>
    <sheet xmlns:r="http://schemas.openxmlformats.org/officeDocument/2006/relationships" name="3.S-curve การยอมรับ" sheetId="3" state="visible" r:id="rId3"/>
    <sheet xmlns:r="http://schemas.openxmlformats.org/officeDocument/2006/relationships" name="4.Demand สถานี" sheetId="4" state="visible" r:id="rId4"/>
    <sheet xmlns:r="http://schemas.openxmlformats.org/officeDocument/2006/relationships" name="5.Validation" sheetId="5" state="visible" r:id="rId5"/>
    <sheet xmlns:r="http://schemas.openxmlformats.org/officeDocument/2006/relationships" name="6.เทียบ NREL" sheetId="6" state="visible" r:id="rId6"/>
    <sheet xmlns:r="http://schemas.openxmlformats.org/officeDocument/2006/relationships" name="7.Data Verification" sheetId="7" state="visible" r:id="rId7"/>
    <sheet xmlns:r="http://schemas.openxmlformats.org/officeDocument/2006/relationships" name="8.Reviewer Notes" sheetId="8" state="visible" r:id="rId8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\+0.0;\-0.0"/>
  </numFmts>
  <fonts count="32">
    <font>
      <name val="Calibri"/>
      <charset val="1"/>
      <family val="2"/>
      <color theme="1"/>
      <sz val="11"/>
    </font>
    <font>
      <name val="Tahoma"/>
      <charset val="1"/>
      <b val="1"/>
      <color rgb="FF1F3864"/>
      <sz val="16"/>
    </font>
    <font>
      <name val="Tahoma"/>
      <charset val="1"/>
      <i val="1"/>
      <color rgb="FF595959"/>
      <sz val="10"/>
    </font>
    <font>
      <name val="Tahoma"/>
      <charset val="1"/>
      <b val="1"/>
      <color rgb="FF1F3864"/>
      <sz val="12"/>
    </font>
    <font>
      <name val="Tahoma"/>
      <charset val="1"/>
      <sz val="10"/>
    </font>
    <font>
      <name val="Tahoma"/>
      <charset val="1"/>
      <b val="1"/>
      <color rgb="FFFFFFFF"/>
      <sz val="11"/>
    </font>
    <font>
      <name val="Tahoma"/>
      <charset val="1"/>
      <b val="1"/>
      <color rgb="FF1F3864"/>
      <sz val="9.5"/>
    </font>
    <font>
      <name val="Tahoma"/>
      <charset val="1"/>
      <color rgb="FF000000"/>
      <sz val="9.5"/>
    </font>
    <font>
      <name val="Tahoma"/>
      <charset val="1"/>
      <b val="1"/>
      <color rgb="FFC00000"/>
      <sz val="10"/>
    </font>
    <font>
      <name val="Tahoma"/>
      <charset val="1"/>
      <b val="1"/>
      <color rgb="FF008000"/>
      <sz val="10"/>
    </font>
    <font>
      <name val="Tahoma"/>
      <charset val="1"/>
      <color rgb="FF000000"/>
      <sz val="10"/>
    </font>
    <font>
      <name val="Tahoma"/>
      <charset val="1"/>
      <b val="1"/>
      <color rgb="FF0000FF"/>
      <sz val="10"/>
    </font>
    <font>
      <name val="Tahoma"/>
      <charset val="1"/>
      <color rgb="FF595959"/>
      <sz val="9"/>
    </font>
    <font>
      <name val="Tahoma"/>
      <charset val="1"/>
      <color rgb="FF404040"/>
      <sz val="9"/>
    </font>
    <font>
      <name val="Tahoma"/>
      <charset val="1"/>
      <b val="1"/>
      <sz val="10"/>
    </font>
    <font>
      <name val="Tahoma"/>
      <charset val="1"/>
      <i val="1"/>
      <color rgb="FF595959"/>
      <sz val="9"/>
    </font>
    <font>
      <name val="Tahoma"/>
      <charset val="1"/>
      <b val="1"/>
      <color rgb="FF1F3864"/>
      <sz val="11"/>
    </font>
    <font>
      <name val="Tahoma"/>
      <charset val="1"/>
      <b val="1"/>
      <color rgb="FF0000FF"/>
      <sz val="12"/>
    </font>
    <font>
      <name val="Tahoma"/>
      <charset val="1"/>
      <b val="1"/>
      <color rgb="FF000000"/>
      <sz val="10"/>
    </font>
    <font>
      <name val="Tahoma"/>
      <charset val="1"/>
      <color rgb="FF595959"/>
      <sz val="8.5"/>
    </font>
    <font>
      <name val="Tahoma"/>
      <charset val="1"/>
      <b val="1"/>
      <color rgb="FFC00000"/>
      <sz val="11"/>
    </font>
    <font>
      <name val="Tahoma"/>
      <charset val="1"/>
      <color rgb="FF0000FF"/>
      <sz val="10"/>
    </font>
    <font>
      <name val="Tahoma"/>
      <charset val="1"/>
      <b val="1"/>
      <color rgb="FF008000"/>
      <sz val="11"/>
    </font>
    <font>
      <name val="Tahoma"/>
      <charset val="1"/>
      <color rgb="FFC00000"/>
      <sz val="9.5"/>
    </font>
    <font>
      <name val="Tahoma"/>
      <charset val="1"/>
      <b val="1"/>
      <color rgb="FF1F3864"/>
      <sz val="10"/>
    </font>
    <font>
      <name val="Aptos"/>
      <sz val="10"/>
    </font>
    <font>
      <name val="Aptos"/>
      <b val="1"/>
      <sz val="10"/>
    </font>
    <font>
      <name val="Aptos"/>
      <b val="1"/>
      <color rgb="FFFFFFFF"/>
      <sz val="10"/>
    </font>
    <font>
      <name val="Aptos"/>
      <color rgb="FF000000"/>
      <sz val="10"/>
    </font>
    <font>
      <b val="1"/>
    </font>
    <font/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FFF9E6"/>
        <bgColor rgb="FFFFFFF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FFF9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6F8FA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8DEE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7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 wrapText="1"/>
    </xf>
    <xf numFmtId="3" fontId="9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18" fillId="3" borderId="1" applyAlignment="1" pivotButton="0" quotePrefix="0" xfId="0">
      <alignment vertical="center" wrapText="1"/>
    </xf>
    <xf numFmtId="3" fontId="14" fillId="3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3" fontId="20" fillId="7" borderId="1" applyAlignment="1" pivotButton="0" quotePrefix="0" xfId="0">
      <alignment vertical="center" wrapText="1"/>
    </xf>
    <xf numFmtId="3" fontId="14" fillId="0" borderId="1" applyAlignment="1" pivotButton="0" quotePrefix="0" xfId="0">
      <alignment vertical="center" wrapText="1"/>
    </xf>
    <xf numFmtId="164" fontId="14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21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18" fillId="6" borderId="1" applyAlignment="1" pivotButton="0" quotePrefix="0" xfId="0">
      <alignment vertical="center" wrapText="1"/>
    </xf>
    <xf numFmtId="164" fontId="22" fillId="6" borderId="1" applyAlignment="1" pivotButton="0" quotePrefix="0" xfId="0">
      <alignment vertical="center" wrapText="1"/>
    </xf>
    <xf numFmtId="2" fontId="22" fillId="6" borderId="1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5" fillId="9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6" fillId="10" borderId="0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7" fillId="11" borderId="4" applyAlignment="1" pivotButton="0" quotePrefix="0" xfId="0">
      <alignment vertical="center" wrapText="1"/>
    </xf>
    <xf numFmtId="0" fontId="28" fillId="12" borderId="4" applyAlignment="1" pivotButton="0" quotePrefix="0" xfId="0">
      <alignment vertical="center" wrapText="1"/>
    </xf>
    <xf numFmtId="0" fontId="28" fillId="0" borderId="4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23" fillId="7" borderId="0" applyAlignment="1" pivotButton="0" quotePrefix="0" xfId="0">
      <alignment vertical="top" wrapText="1"/>
    </xf>
    <xf numFmtId="0" fontId="24" fillId="3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29" fillId="13" borderId="0" applyAlignment="1" pivotButton="0" quotePrefix="0" xfId="0">
      <alignment vertical="center" wrapText="1"/>
    </xf>
    <xf numFmtId="0" fontId="30" fillId="13" borderId="0" applyAlignment="1" pivotButton="0" quotePrefix="0" xfId="0">
      <alignment vertical="center" wrapText="1"/>
    </xf>
    <xf numFmtId="0" fontId="31" fillId="14" borderId="0" applyAlignment="1" pivotButton="0" quotePrefix="0" xfId="0">
      <alignment horizontal="left" vertical="center" wrapText="1"/>
    </xf>
    <xf numFmtId="0" fontId="31" fillId="14" borderId="0" pivotButton="0" quotePrefix="0" xfId="0"/>
    <xf numFmtId="0" fontId="14" fillId="13" borderId="1" applyAlignment="1" pivotButton="0" quotePrefix="0" xfId="0">
      <alignment horizontal="center" vertical="center" wrapText="1"/>
    </xf>
    <xf numFmtId="10" fontId="4" fillId="13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center" vertical="center" wrapText="1"/>
    </xf>
    <xf numFmtId="0" fontId="0" fillId="13" borderId="0" pivotButton="0" quotePrefix="0" xfId="0"/>
    <xf numFmtId="0" fontId="31" fillId="14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 wrapText="1"/>
    </xf>
    <xf numFmtId="0" fontId="0" fillId="15" borderId="0" applyAlignment="1" pivotButton="0" quotePrefix="0" xfId="0">
      <alignment vertical="center" wrapText="1"/>
    </xf>
  </cellXfs>
  <cellStyles count="1">
    <cellStyle name="ปกติ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Codex verification</author>
  </authors>
  <commentList>
    <comment ref="E29" authorId="0" shapeId="0">
      <text>
        <t>ควรใช้ sensitivity 130/200/300 ก่อนสรุป station calibration.</t>
      </text>
    </comment>
  </commentList>
</comments>
</file>

<file path=xl/comments/comment2.xml><?xml version="1.0" encoding="utf-8"?>
<comments xmlns="http://schemas.openxmlformats.org/spreadsheetml/2006/main">
  <authors>
    <author>Codex verification</author>
  </authors>
  <commentList>
    <comment ref="B2" authorId="0" shapeId="0">
      <text>
        <t>อย่าให้ที่ปรึกษาเข้าใจว่า S-curve stock ปัจจุบัน match DLT แล้ว; v3 ระบุชัดว่า DLT actual เป็น calibration target.</t>
      </text>
    </comment>
  </commentList>
</comments>
</file>

<file path=xl/comments/comment3.xml><?xml version="1.0" encoding="utf-8"?>
<comments xmlns="http://schemas.openxmlformats.org/spreadsheetml/2006/main">
  <authors>
    <author>Codex review</author>
  </authors>
  <commentList>
    <comment ref="C14" authorId="0" shapeId="0">
      <text>
        <t>ตัวเลขนี้ควรคงเป็น anchor แบบมี caveat ไม่ควรเรียกว่า actual confirmed จนกว่าจะได้ session log/kWh/day/ช่วงเวลาใช้งานจริง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10" zoomScaleNormal="110" workbookViewId="0">
      <selection activeCell="E28" sqref="E28"/>
    </sheetView>
  </sheetViews>
  <sheetFormatPr baseColWidth="8" defaultColWidth="8.6640625" defaultRowHeight="14.4"/>
  <cols>
    <col width="18.44140625" customWidth="1" min="1" max="1"/>
    <col width="26" customWidth="1" min="2" max="2"/>
    <col width="22" customWidth="1" min="3" max="4"/>
    <col width="22.77734375" customWidth="1" min="5" max="5"/>
    <col width="46.21875" customWidth="1" min="6" max="6"/>
  </cols>
  <sheetData>
    <row r="1" ht="20.4" customHeight="1">
      <c r="A1" s="49" t="inlineStr">
        <is>
          <t>TH-EVI : โมเดลประมาณการความต้องการสถานีชาร์จ EV ของไทย</t>
        </is>
      </c>
      <c r="B1" s="58" t="n"/>
      <c r="C1" s="58" t="n"/>
      <c r="D1" s="58" t="n"/>
      <c r="E1" s="58" t="n"/>
      <c r="F1" s="58" t="n"/>
    </row>
    <row r="2">
      <c r="A2" s="48" t="inlineStr">
        <is>
          <t>Thailand EV Infrastructure Projection Model  •  แรงบันดาลใจจาก NREL EVI-Pro  •  นำร่องจังหวัดเชียงใหม่</t>
        </is>
      </c>
      <c r="B2" s="58" t="n"/>
      <c r="C2" s="58" t="n"/>
      <c r="D2" s="58" t="n"/>
      <c r="E2" s="58" t="n"/>
      <c r="F2" s="58" t="n"/>
    </row>
    <row r="3" ht="9" customHeight="1">
      <c r="A3" s="58" t="n"/>
      <c r="B3" s="58" t="n"/>
      <c r="C3" s="58" t="n"/>
      <c r="D3" s="58" t="n"/>
      <c r="E3" s="58" t="n"/>
      <c r="F3" s="58" t="n"/>
    </row>
    <row r="4" ht="12.6" customHeight="1">
      <c r="A4" s="58" t="n"/>
      <c r="B4" s="12" t="inlineStr">
        <is>
          <t>โมเดลนี้คืออะไร</t>
        </is>
      </c>
      <c r="C4" s="58" t="n"/>
      <c r="D4" s="58" t="n"/>
      <c r="E4" s="58" t="n"/>
      <c r="F4" s="58" t="n"/>
    </row>
    <row r="5" ht="15" customHeight="1">
      <c r="A5" s="58" t="n"/>
      <c r="B5" s="63" t="inlineStr">
        <is>
          <t>TH-EVI ประเมินความต้องการชาร์จ EV ต่อวันโดยใช้ข้อมูลไทยที่ตรวจสอบได้: DOPA 2568, DLT เม.ย. 2569 และ AADT กรมทางหลวง 2566. v4 ปรับ adoption table ให้ใช้ DLT BEV+PHEV สะสมของเชียงใหม่ 15,229 คันเป็น seed ปี 2026 แทนการอาศัย legacy placeholder</t>
        </is>
      </c>
    </row>
    <row r="6" ht="22.2" customHeight="1">
      <c r="A6" s="58" t="n"/>
    </row>
    <row r="7">
      <c r="A7" s="58" t="n"/>
      <c r="B7" s="58" t="n"/>
      <c r="C7" s="58" t="n"/>
      <c r="D7" s="58" t="n"/>
      <c r="E7" s="58" t="n"/>
      <c r="F7" s="58" t="n"/>
    </row>
    <row r="8" ht="15.6" customHeight="1">
      <c r="A8" s="58" t="n"/>
      <c r="B8" s="50" t="inlineStr">
        <is>
          <t>โครงสร้าง 4 ชั้น (Layer) ของโมเดล</t>
        </is>
      </c>
      <c r="C8" s="58" t="n"/>
      <c r="D8" s="58" t="n"/>
      <c r="E8" s="58" t="n"/>
      <c r="F8" s="58" t="n"/>
    </row>
    <row r="9">
      <c r="A9" s="58" t="n"/>
      <c r="B9" s="2" t="inlineStr">
        <is>
          <t>ชั้น</t>
        </is>
      </c>
      <c r="C9" s="2" t="inlineStr">
        <is>
          <t>หน้าที่</t>
        </is>
      </c>
      <c r="D9" s="2" t="inlineStr">
        <is>
          <t>อินพุตหลัก</t>
        </is>
      </c>
      <c r="E9" s="2" t="inlineStr">
        <is>
          <t>ผลลัพธ์</t>
        </is>
      </c>
      <c r="F9" s="58" t="n"/>
    </row>
    <row r="10" ht="42" customHeight="1">
      <c r="A10" s="58" t="n"/>
      <c r="B10" s="3" t="inlineStr">
        <is>
          <t>1. Adoption</t>
        </is>
      </c>
      <c r="C10" s="4" t="inlineStr">
        <is>
          <t>พยากรณ์สัดส่วน BEV ในรถใหม่ด้วย S-curve (logistic)</t>
        </is>
      </c>
      <c r="D10" s="4" t="inlineStr">
        <is>
          <t>ข้อมูล FTI ปี 2566-2568</t>
        </is>
      </c>
      <c r="E10" s="4" t="inlineStr">
        <is>
          <t>% BEV รายปี + EV สะสมในจังหวัด</t>
        </is>
      </c>
      <c r="F10" s="58" t="n"/>
    </row>
    <row r="11" ht="42" customHeight="1">
      <c r="A11" s="58" t="n"/>
      <c r="B11" s="3" t="inlineStr">
        <is>
          <t>2. Demand</t>
        </is>
      </c>
      <c r="C11" s="4" t="inlineStr">
        <is>
          <t>แปลงปริมาณจราจร/ประชากร EV เป็นครั้งชาร์จ/วัน</t>
        </is>
      </c>
      <c r="D11" s="4" t="inlineStr">
        <is>
          <t>AADT, ประชากร EV, prob.ชาร์จ</t>
        </is>
      </c>
      <c r="E11" s="4" t="inlineStr">
        <is>
          <t>จำนวนครั้งที่ชาร์จ/วัน, kWh/วัน</t>
        </is>
      </c>
      <c r="F11" s="58" t="n"/>
    </row>
    <row r="12" ht="42" customHeight="1">
      <c r="A12" s="58" t="n"/>
      <c r="B12" s="3" t="inlineStr">
        <is>
          <t>3. Site</t>
        </is>
      </c>
      <c r="C12" s="4" t="inlineStr">
        <is>
          <t>ปรับด้วยทำเล การมองเห็น สถานีคู่แข่ง</t>
        </is>
      </c>
      <c r="D12" s="4" t="inlineStr">
        <is>
          <t>คะแนนทำเล, คู่แข่งรอบข้าง</t>
        </is>
      </c>
      <c r="E12" s="4" t="inlineStr">
        <is>
          <t>ส่วนแบ่งตลาดที่สถานีแย่งได้จริง</t>
        </is>
      </c>
      <c r="F12" s="58" t="n"/>
    </row>
    <row r="13" ht="42" customHeight="1">
      <c r="A13" s="58" t="n"/>
      <c r="B13" s="3" t="inlineStr">
        <is>
          <t>4. Temporal</t>
        </is>
      </c>
      <c r="C13" s="4" t="inlineStr">
        <is>
          <t>กระจายรายชั่วโมง + คิวด้วย Erlang-C</t>
        </is>
      </c>
      <c r="D13" s="4" t="inlineStr">
        <is>
          <t>รูปแบบการมาแต่ละชั่วโมง</t>
        </is>
      </c>
      <c r="E13" s="4" t="inlineStr">
        <is>
          <t>จำนวนหัวชาร์จที่ต้องมี</t>
        </is>
      </c>
      <c r="F13" s="58" t="n"/>
    </row>
    <row r="14">
      <c r="A14" s="58" t="n"/>
      <c r="B14" s="58" t="n"/>
      <c r="C14" s="58" t="n"/>
      <c r="D14" s="58" t="n"/>
      <c r="E14" s="58" t="n"/>
      <c r="F14" s="58" t="n"/>
    </row>
    <row r="15" ht="15.6" customHeight="1">
      <c r="A15" s="58" t="n"/>
      <c r="B15" s="12" t="inlineStr">
        <is>
          <t>สูตรแกนกลาง</t>
        </is>
      </c>
      <c r="C15" s="58" t="n"/>
      <c r="D15" s="58" t="n"/>
      <c r="E15" s="58" t="n"/>
      <c r="F15" s="58" t="n"/>
    </row>
    <row r="16" ht="19.5" customHeight="1">
      <c r="A16" s="58" t="n"/>
      <c r="B16" s="62" t="inlineStr">
        <is>
          <t>ความต้องการพื้นที่:  EV visits/วัน = AADT × สัดส่วน EV ในกลุ่มรถ(ปี) × ความน่าจะเป็นที่รถจะมาชาร์จ</t>
        </is>
      </c>
    </row>
    <row r="17" ht="25.8" customHeight="1">
      <c r="A17" s="58" t="n"/>
      <c r="B17" s="62" t="inlineStr">
        <is>
          <t>ความต้องการสถานี: จำนวนครั้งที่ชาร์จ/วัน = (ผู้อยู่อาศัย + แอพเรียกรถ + นักท่องเที่ยว + ขนส่ง) × calibration factor โดย calibration factor ปัจจุบันเป็น temporary anchor จากข้อมูลสถานี 1 จุดที่ยังต้องยืนยัน</t>
        </is>
      </c>
    </row>
    <row r="18">
      <c r="A18" s="58" t="n"/>
      <c r="B18" s="58" t="n"/>
      <c r="C18" s="58" t="n"/>
      <c r="D18" s="58" t="n"/>
      <c r="E18" s="58" t="n"/>
      <c r="F18" s="58" t="n"/>
    </row>
    <row r="19" ht="15.6" customHeight="1">
      <c r="A19" s="58" t="n"/>
      <c r="B19" s="50" t="inlineStr">
        <is>
          <t>ความน่าเชื่อถือโดยสรุป (รายละเอียดในชีต '5.Validation')</t>
        </is>
      </c>
      <c r="C19" s="58" t="n"/>
      <c r="D19" s="58" t="n"/>
      <c r="E19" s="58" t="n"/>
      <c r="F19" s="58" t="n"/>
    </row>
    <row r="20">
      <c r="A20" s="58" t="n"/>
      <c r="B20" s="2" t="inlineStr">
        <is>
          <t>ตัวชี้วัด</t>
        </is>
      </c>
      <c r="C20" s="2" t="inlineStr">
        <is>
          <t>ค่า</t>
        </is>
      </c>
      <c r="D20" s="2" t="inlineStr">
        <is>
          <t>หมายเหตุ</t>
        </is>
      </c>
      <c r="E20" s="58" t="n"/>
      <c r="F20" s="58" t="n"/>
    </row>
    <row r="21" ht="15" customHeight="1">
      <c r="A21" s="58" t="n"/>
      <c r="B21" s="59" t="inlineStr">
        <is>
          <t>Adoption MAPE</t>
        </is>
      </c>
      <c r="C21" s="5" t="inlineStr">
        <is>
          <t>8.5%</t>
        </is>
      </c>
      <c r="D21" s="59" t="inlineStr">
        <is>
          <t>เทียบ S-curve กับยอด BEV จริงของ FTI ปี 2566-2568</t>
        </is>
      </c>
      <c r="E21" s="70" t="n"/>
      <c r="F21" s="71" t="n"/>
    </row>
    <row r="22" ht="15" customHeight="1">
      <c r="A22" s="58" t="n"/>
      <c r="B22" s="59" t="inlineStr">
        <is>
          <t>Adoption RMSE</t>
        </is>
      </c>
      <c r="C22" s="5" t="inlineStr">
        <is>
          <t>1.49 pp</t>
        </is>
      </c>
      <c r="D22" s="59" t="inlineStr">
        <is>
          <t>คลาดเคลื่อนเฉลี่ยระดับจุดเปอร์เซ็นต์</t>
        </is>
      </c>
      <c r="E22" s="70" t="n"/>
      <c r="F22" s="71" t="n"/>
    </row>
    <row r="23" ht="15" customHeight="1">
      <c r="A23" s="58" t="n"/>
      <c r="B23" s="59" t="inlineStr">
        <is>
          <t>Station calibration</t>
        </is>
      </c>
      <c r="C23" s="5" t="inlineStr">
        <is>
          <t>0.409 base; sensitivity 0.629/0.943</t>
        </is>
      </c>
      <c r="D23" s="59" t="inlineStr">
        <is>
          <t>rebased หลังใช้ DLT stock seed; ยังเป็น temporary เพราะ anchor สถานียังเป็น verbal/operator-reported</t>
        </is>
      </c>
      <c r="E23" s="70" t="n"/>
      <c r="F23" s="71" t="n"/>
    </row>
    <row r="24" ht="15" customHeight="1">
      <c r="A24" s="58" t="n"/>
      <c r="B24" s="59" t="inlineStr">
        <is>
          <t>สถานะ validation สถานี</t>
        </is>
      </c>
      <c r="C24" s="5" t="inlineStr">
        <is>
          <t>Just-identified</t>
        </is>
      </c>
      <c r="D24" s="59" t="inlineStr">
        <is>
          <t>ต้องเก็บอีก ≥4 สถานีจึงประเมิน out-of-sample ได้</t>
        </is>
      </c>
      <c r="E24" s="70" t="n"/>
      <c r="F24" s="71" t="n"/>
    </row>
  </sheetData>
  <mergeCells count="7">
    <mergeCell ref="D23:F23"/>
    <mergeCell ref="B16:F16"/>
    <mergeCell ref="D22:F22"/>
    <mergeCell ref="B5:F6"/>
    <mergeCell ref="D21:F21"/>
    <mergeCell ref="B17:F17"/>
    <mergeCell ref="D24:F2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topLeftCell="A25" zoomScale="110" zoomScaleNormal="110" workbookViewId="0">
      <selection activeCell="B37" sqref="B37"/>
    </sheetView>
  </sheetViews>
  <sheetFormatPr baseColWidth="8" defaultColWidth="8.6640625" defaultRowHeight="14.4"/>
  <cols>
    <col width="10.77734375" customWidth="1" min="1" max="1"/>
    <col width="34" customWidth="1" min="2" max="2"/>
    <col width="14" customWidth="1" min="3" max="3"/>
    <col width="12" customWidth="1" min="4" max="4"/>
    <col width="51.6640625" customWidth="1" min="5" max="5"/>
  </cols>
  <sheetData>
    <row r="1" ht="20.4" customHeight="1">
      <c r="A1" s="49" t="inlineStr">
        <is>
          <t>สมมติฐานทั้งหมด</t>
        </is>
      </c>
      <c r="B1" s="58" t="n"/>
      <c r="C1" s="58" t="n"/>
      <c r="D1" s="58" t="n"/>
      <c r="E1" s="58" t="n"/>
    </row>
    <row r="2">
      <c r="A2" s="48" t="inlineStr">
        <is>
          <t>ช่องพื้นหลังเหลือง/ครีม = อินพุตที่ปรับได้ (เลขสีน้ำเงิน) • ชีตอื่นอ้างอิงค่ามาจากที่นี่ทั้งหมด</t>
        </is>
      </c>
      <c r="B2" s="58" t="n"/>
      <c r="C2" s="58" t="n"/>
      <c r="D2" s="58" t="n"/>
      <c r="E2" s="58" t="n"/>
    </row>
    <row r="3">
      <c r="A3" s="58" t="n"/>
      <c r="B3" s="58" t="n"/>
      <c r="C3" s="58" t="n"/>
      <c r="D3" s="58" t="n"/>
      <c r="E3" s="58" t="n"/>
    </row>
    <row r="4">
      <c r="A4" s="58" t="n"/>
      <c r="B4" s="2" t="inlineStr">
        <is>
          <t>พารามิเตอร์</t>
        </is>
      </c>
      <c r="C4" s="2" t="inlineStr">
        <is>
          <t>ค่า</t>
        </is>
      </c>
      <c r="D4" s="2" t="inlineStr">
        <is>
          <t>หน่วย</t>
        </is>
      </c>
      <c r="E4" s="2" t="inlineStr">
        <is>
          <t>แหล่งที่มา / เหตุผล</t>
        </is>
      </c>
    </row>
    <row r="5" ht="19.5" customHeight="1">
      <c r="A5" s="58" t="n"/>
      <c r="B5" s="64" t="inlineStr">
        <is>
          <t>A. พารามิเตอร์ S-curve การยอมรับ EV (logistic)</t>
        </is>
      </c>
    </row>
    <row r="6" ht="30" customHeight="1">
      <c r="A6" s="58" t="n"/>
      <c r="B6" s="13" t="inlineStr">
        <is>
          <t>เพดานสูงสุด (carrying capacity)</t>
        </is>
      </c>
      <c r="C6" s="14" t="n">
        <v>0.85</v>
      </c>
      <c r="D6" s="15" t="inlineStr">
        <is>
          <t>สัดส่วน</t>
        </is>
      </c>
      <c r="E6" s="6" t="inlineStr">
        <is>
          <t>สมมติ BEV ถึง 85% ของรถใหม่เมื่ออิ่มตัว (อิง 30@30 + แนวโน้มโลก)</t>
        </is>
      </c>
    </row>
    <row r="7" ht="30" customHeight="1">
      <c r="A7" s="58" t="n"/>
      <c r="B7" s="13" t="inlineStr">
        <is>
          <t>อัตราการเติบโต (growth rate)</t>
        </is>
      </c>
      <c r="C7" s="16" t="n">
        <v>0.179</v>
      </c>
      <c r="D7" s="15" t="inlineStr">
        <is>
          <t>ต่อปี</t>
        </is>
      </c>
      <c r="E7" s="6" t="inlineStr">
        <is>
          <t>ปรับด้วย scipy least-squares กับข้อมูล FTI รายปี 2566-2568</t>
        </is>
      </c>
    </row>
    <row r="8" ht="30" customHeight="1">
      <c r="A8" s="58" t="n"/>
      <c r="B8" s="13" t="inlineStr">
        <is>
          <t>ปีกึ่งกลาง (midpoint 50%)</t>
        </is>
      </c>
      <c r="C8" s="16" t="n">
        <v>2032</v>
      </c>
      <c r="D8" s="15" t="inlineStr">
        <is>
          <t>ค.ศ.</t>
        </is>
      </c>
      <c r="E8" s="6" t="inlineStr">
        <is>
          <t>ปีที่ถึง 50% ของเพดาน — สอดคล้องเป้า 30@30 (2030≈35%)</t>
        </is>
      </c>
    </row>
    <row r="9" ht="30" customHeight="1">
      <c r="A9" s="58" t="n"/>
      <c r="B9" s="13" t="inlineStr">
        <is>
          <t>ตัวปรับระดับจังหวัด (เชียงใหม่)</t>
        </is>
      </c>
      <c r="C9" s="16" t="n">
        <v>1</v>
      </c>
      <c r="D9" s="15" t="inlineStr">
        <is>
          <t>x</t>
        </is>
      </c>
      <c r="E9" s="6" t="inlineStr">
        <is>
          <t>ใช้ฐาน ร.1 ระดับชาติโดยตรง (แก้ denominator ผสมเดิม 0.40)</t>
        </is>
      </c>
    </row>
    <row r="10">
      <c r="A10" s="58" t="n"/>
      <c r="B10" s="58" t="n"/>
      <c r="C10" s="58" t="n"/>
      <c r="D10" s="58" t="n"/>
      <c r="E10" s="58" t="n"/>
    </row>
    <row r="11" ht="19.5" customHeight="1">
      <c r="A11" s="58" t="n"/>
      <c r="B11" s="64" t="inlineStr">
        <is>
          <t>B. พารามิเตอร์กองรถจังหวัดเชียงใหม่ (ใช้ DLT stock เป็นจุดตั้งต้นปี 2026)</t>
        </is>
      </c>
    </row>
    <row r="12" ht="30" customHeight="1">
      <c r="A12" s="58" t="n"/>
      <c r="B12" s="13" t="inlineStr">
        <is>
          <t>ฐานรถใหม่ ร.1 ต่อปีของ S-curve เดิม (legacy placeholder)</t>
        </is>
      </c>
      <c r="C12" s="16" t="n">
        <v>6200</v>
      </c>
      <c r="D12" s="15" t="inlineStr">
        <is>
          <t>คัน/ปี</t>
        </is>
      </c>
      <c r="E12" s="6" t="inlineStr">
        <is>
          <t>คงไว้เพื่ออธิบายสูตร new-BEV รายปีเท่านั้น; ไม่ใช่ BEV สะสม และไม่ใช้แทนค่า DLT stock</t>
        </is>
      </c>
    </row>
    <row r="13" ht="30" customHeight="1">
      <c r="A13" s="58" t="n"/>
      <c r="B13" s="13" t="inlineStr">
        <is>
          <t>ขนาดกลุ่มรถยนต์นั่งรวม รย.1</t>
        </is>
      </c>
      <c r="C13" s="16" t="n">
        <v>453310</v>
      </c>
      <c r="D13" s="15" t="inlineStr">
        <is>
          <t>คัน</t>
        </is>
      </c>
      <c r="E13" s="6" t="inlineStr">
        <is>
          <t>Verified DLT 30 เม.ย. 2569; ใช้เป็น denominator ของ EV penetration</t>
        </is>
      </c>
    </row>
    <row r="14" ht="30" customHeight="1">
      <c r="A14" s="58" t="n"/>
      <c r="B14" s="13" t="inlineStr">
        <is>
          <t>อายุปลดระวางรถ (scrappage)</t>
        </is>
      </c>
      <c r="C14" s="16" t="n">
        <v>14</v>
      </c>
      <c r="D14" s="15" t="inlineStr">
        <is>
          <t>ปี</t>
        </is>
      </c>
      <c r="E14" s="6" t="inlineStr">
        <is>
          <t>ใช้ cohort retirement หลัง 14 ปีในโมเดลสาธิตนี้; หากต้องการความสมจริงควรเปลี่ยนเป็น gradual scrappage หรือใช้ทะเบียนสะสมจริง</t>
        </is>
      </c>
    </row>
    <row r="15">
      <c r="A15" s="58" t="n"/>
      <c r="B15" s="58" t="n"/>
      <c r="C15" s="58" t="n"/>
      <c r="D15" s="58" t="n"/>
      <c r="E15" s="58" t="n"/>
    </row>
    <row r="16" ht="19.5" customHeight="1">
      <c r="A16" s="58" t="n"/>
      <c r="B16" s="64" t="inlineStr">
        <is>
          <t>C. ความน่าจะเป็นที่จะชาร์จ ตามประเภททำเล</t>
        </is>
      </c>
    </row>
    <row r="17" ht="30" customHeight="1">
      <c r="A17" s="58" t="n"/>
      <c r="B17" s="13" t="inlineStr">
        <is>
          <t>ทางหลวง (highway)</t>
        </is>
      </c>
      <c r="C17" s="14" t="n">
        <v>0.06</v>
      </c>
      <c r="D17" s="15" t="inlineStr">
        <is>
          <t>สัดส่วน</t>
        </is>
      </c>
      <c r="E17" s="6" t="inlineStr">
        <is>
          <t>รถวิ่งผ่าน ส่วนน้อยแวะชาร์จด่วน</t>
        </is>
      </c>
    </row>
    <row r="18" ht="30" customHeight="1">
      <c r="A18" s="58" t="n"/>
      <c r="B18" s="13" t="inlineStr">
        <is>
          <t>ใจกลางเมือง (city center)</t>
        </is>
      </c>
      <c r="C18" s="14" t="n">
        <v>0.12</v>
      </c>
      <c r="D18" s="15" t="inlineStr">
        <is>
          <t>สัดส่วน</t>
        </is>
      </c>
      <c r="E18" s="6" t="inlineStr">
        <is>
          <t>ความหนาแน่นสูง แวะปานกลาง</t>
        </is>
      </c>
    </row>
    <row r="19" ht="30" customHeight="1">
      <c r="A19" s="58" t="n"/>
      <c r="B19" s="13" t="inlineStr">
        <is>
          <t>จุดหมายปลายทาง (destination)</t>
        </is>
      </c>
      <c r="C19" s="14" t="n">
        <v>0.2</v>
      </c>
      <c r="D19" s="15" t="inlineStr">
        <is>
          <t>สัดส่วน</t>
        </is>
      </c>
      <c r="E19" s="6" t="inlineStr">
        <is>
          <t>ห้าง/สนามบิน จอดนานโอกาสชาร์จสูง</t>
        </is>
      </c>
    </row>
    <row r="20" ht="30" customHeight="1">
      <c r="A20" s="58" t="n"/>
      <c r="B20" s="13" t="inlineStr">
        <is>
          <t>ชานเมือง (suburban)</t>
        </is>
      </c>
      <c r="C20" s="14" t="n">
        <v>0.08</v>
      </c>
      <c r="D20" s="15" t="inlineStr">
        <is>
          <t>สัดส่วน</t>
        </is>
      </c>
      <c r="E20" s="6" t="inlineStr">
        <is>
          <t>สมมติฐานนำร่อง</t>
        </is>
      </c>
    </row>
    <row r="21">
      <c r="A21" s="58" t="n"/>
      <c r="B21" s="58" t="n"/>
      <c r="C21" s="58" t="n"/>
      <c r="D21" s="58" t="n"/>
      <c r="E21" s="58" t="n"/>
    </row>
    <row r="22" ht="19.5" customHeight="1">
      <c r="A22" s="58" t="n"/>
      <c r="B22" s="64" t="inlineStr">
        <is>
          <t>D. สถานี ฉากทัศน์ Base</t>
        </is>
      </c>
    </row>
    <row r="23" ht="30" customHeight="1">
      <c r="A23" s="58" t="n"/>
      <c r="B23" s="13" t="inlineStr">
        <is>
          <t>สัดส่วนพึ่งชาร์จสาธารณะ</t>
        </is>
      </c>
      <c r="C23" s="14" t="n">
        <v>0.35</v>
      </c>
      <c r="D23" s="15" t="inlineStr">
        <is>
          <t>สัดส่วน</t>
        </is>
      </c>
      <c r="E23" s="6" t="inlineStr">
        <is>
          <t>ผู้ใช้ EV ที่ไม่มีที่ชาร์จบ้านเพียงพอ</t>
        </is>
      </c>
    </row>
    <row r="24" ht="30" customHeight="1">
      <c r="A24" s="58" t="n"/>
      <c r="B24" s="13" t="inlineStr">
        <is>
          <t>ครั้งชาร์จสาธารณะ/สัปดาห์</t>
        </is>
      </c>
      <c r="C24" s="16" t="n">
        <v>1.5</v>
      </c>
      <c r="D24" s="15" t="inlineStr">
        <is>
          <t>ครั้ง</t>
        </is>
      </c>
      <c r="E24" s="6" t="inlineStr">
        <is>
          <t>พฤติกรรมผู้อยู่อาศัย</t>
        </is>
      </c>
    </row>
    <row r="25" ht="30" customHeight="1">
      <c r="A25" s="58" t="n"/>
      <c r="B25" s="13" t="inlineStr">
        <is>
          <t>capture ผู้อยู่อาศัย</t>
        </is>
      </c>
      <c r="C25" s="14" t="n">
        <v>0.2</v>
      </c>
      <c r="D25" s="15" t="inlineStr">
        <is>
          <t>สัดส่วน</t>
        </is>
      </c>
      <c r="E25" s="6" t="inlineStr">
        <is>
          <t>ส่วนแบ่งที่สถานีนี้แย่งได้</t>
        </is>
      </c>
    </row>
    <row r="26" ht="30" customHeight="1">
      <c r="A26" s="58" t="n"/>
      <c r="B26" s="13" t="inlineStr">
        <is>
          <t>คนขับแพลตฟอร์มเรียกรถในพื้นที่</t>
        </is>
      </c>
      <c r="C26" s="16" t="n">
        <v>4000</v>
      </c>
      <c r="D26" s="15" t="inlineStr">
        <is>
          <t>คน</t>
        </is>
      </c>
      <c r="E26" s="6" t="inlineStr">
        <is>
          <t>ประมาณการ Grab/Bolt/In Driver เชียงใหม่</t>
        </is>
      </c>
    </row>
    <row r="27" ht="30" customHeight="1">
      <c r="A27" s="58" t="n"/>
      <c r="B27" s="13" t="inlineStr">
        <is>
          <t>สัดส่วน EV ในเรียกรถ</t>
        </is>
      </c>
      <c r="C27" s="14" t="n">
        <v>0.05</v>
      </c>
      <c r="D27" s="15" t="inlineStr">
        <is>
          <t>สัดส่วน</t>
        </is>
      </c>
      <c r="E27" s="6" t="inlineStr">
        <is>
          <t>ฐานปี 2026</t>
        </is>
      </c>
    </row>
    <row r="28" ht="30" customHeight="1">
      <c r="A28" s="58" t="n"/>
      <c r="B28" s="13" t="inlineStr">
        <is>
          <t>นักท่องเที่ยวมาถึง/วัน</t>
        </is>
      </c>
      <c r="C28" s="16" t="n">
        <v>33000</v>
      </c>
      <c r="D28" s="15" t="inlineStr">
        <is>
          <t>คน/วัน</t>
        </is>
      </c>
      <c r="E28" s="6" t="inlineStr">
        <is>
          <t>ประมาณการ ททท. เชียงใหม่</t>
        </is>
      </c>
    </row>
    <row r="29" ht="30" customHeight="1">
      <c r="A29" s="58" t="n"/>
      <c r="B29" s="13" t="inlineStr">
        <is>
          <t>calibration factor (base: 130 ÷ raw demand หลังใช้ DLT seed)</t>
        </is>
      </c>
      <c r="C29" s="16" t="n">
        <v>0.409</v>
      </c>
      <c r="D29" s="15" t="inlineStr">
        <is>
          <t>x</t>
        </is>
      </c>
      <c r="E29" s="6" t="inlineStr">
        <is>
          <t>คำนวณใหม่ใน v5: raw demand ปี 2026 หลังใช้ DLT seed ประมาณ 318 ครั้ง/วัน; base anchor 130 ครั้ง/วัน =&gt; factor 0.409. หากใช้ sensitivity 200/300 factor จะเป็น 0.629/0.943</t>
        </is>
      </c>
    </row>
    <row r="30" ht="30" customHeight="1">
      <c r="A30" s="58" t="n"/>
      <c r="B30" s="13" t="inlineStr">
        <is>
          <t>kWh เฉลี่ย/ครั้ง (สถานี)</t>
        </is>
      </c>
      <c r="C30" s="16" t="n">
        <v>32</v>
      </c>
      <c r="D30" s="15" t="inlineStr">
        <is>
          <t>kWh</t>
        </is>
      </c>
      <c r="E30" s="6" t="inlineStr">
        <is>
          <t>base case</t>
        </is>
      </c>
    </row>
    <row r="31" ht="30" customHeight="1">
      <c r="A31" s="58" t="n"/>
      <c r="B31" s="13" t="inlineStr">
        <is>
          <t>ครั้ง/หัวชาร์จ/วัน (ความจุ)</t>
        </is>
      </c>
      <c r="C31" s="16" t="n">
        <v>22</v>
      </c>
      <c r="D31" s="15" t="inlineStr">
        <is>
          <t>ครั้ง</t>
        </is>
      </c>
      <c r="E31" s="6" t="inlineStr">
        <is>
          <t>เพดานความจุต่อหัว</t>
        </is>
      </c>
    </row>
    <row r="32">
      <c r="A32" s="58" t="n"/>
      <c r="B32" s="58" t="n"/>
      <c r="C32" s="58" t="n"/>
      <c r="D32" s="58" t="n"/>
      <c r="E32" s="58" t="n"/>
    </row>
    <row r="33">
      <c r="A33" s="58" t="n"/>
      <c r="B33" s="58" t="n"/>
      <c r="C33" s="58" t="n"/>
      <c r="D33" s="58" t="n"/>
      <c r="E33" s="58" t="n"/>
    </row>
    <row r="34" ht="82.8" customHeight="1">
      <c r="A34" s="52" t="inlineStr">
        <is>
          <t>E. Verified public data สำหรับ consultant review</t>
        </is>
      </c>
      <c r="B34" s="52" t="n"/>
      <c r="C34" s="52" t="n"/>
      <c r="D34" s="52" t="n"/>
      <c r="E34" s="52" t="n"/>
    </row>
    <row r="35" ht="41.4" customHeight="1">
      <c r="A35" s="53" t="inlineStr">
        <is>
          <t>DOPA จังหวัดเชียงใหม่</t>
        </is>
      </c>
      <c r="B35" s="53" t="n">
        <v>1798588</v>
      </c>
      <c r="C35" s="53" t="inlineStr">
        <is>
          <t>คน</t>
        </is>
      </c>
      <c r="D35" s="53" t="inlineStr">
        <is>
          <t>DOPA 2568</t>
        </is>
      </c>
      <c r="E35" s="53" t="inlineStr">
        <is>
          <t>ครัวเรือน 916,688</t>
        </is>
      </c>
    </row>
    <row r="36" ht="41.4" customHeight="1">
      <c r="A36" s="53" t="inlineStr">
        <is>
          <t>DLT รย.1 รถยนต์นั่งรวม</t>
        </is>
      </c>
      <c r="B36" s="53" t="n">
        <v>453310</v>
      </c>
      <c r="C36" s="53" t="inlineStr">
        <is>
          <t>คัน</t>
        </is>
      </c>
      <c r="D36" s="53" t="inlineStr">
        <is>
          <t>DLT 30 เม.ย. 2569</t>
        </is>
      </c>
      <c r="E36" s="53" t="inlineStr">
        <is>
          <t>ใช้เป็น denominator ของ passenger-car EV share</t>
        </is>
      </c>
    </row>
    <row r="37" ht="27.6" customHeight="1">
      <c r="A37" s="53" t="inlineStr">
        <is>
          <t>DLT รย.1 BEV</t>
        </is>
      </c>
      <c r="B37" s="53" t="n">
        <v>13089</v>
      </c>
      <c r="C37" s="53" t="inlineStr">
        <is>
          <t>คัน</t>
        </is>
      </c>
      <c r="D37" s="53" t="inlineStr">
        <is>
          <t>DLT 30 เม.ย. 2569</t>
        </is>
      </c>
      <c r="E37" s="53" t="inlineStr">
        <is>
          <t>BEV share 2.89%</t>
        </is>
      </c>
    </row>
    <row r="38" ht="27.6" customHeight="1">
      <c r="A38" s="53" t="inlineStr">
        <is>
          <t>DLT รย.1 PHEV</t>
        </is>
      </c>
      <c r="B38" s="53" t="n">
        <v>2140</v>
      </c>
      <c r="C38" s="53" t="inlineStr">
        <is>
          <t>คัน</t>
        </is>
      </c>
      <c r="D38" s="53" t="inlineStr">
        <is>
          <t>DLT 30 เม.ย. 2569</t>
        </is>
      </c>
      <c r="E38" s="53" t="inlineStr">
        <is>
          <t>PHEV gasoline + PHEV diesel</t>
        </is>
      </c>
    </row>
    <row r="39" ht="27.6" customHeight="1">
      <c r="A39" s="53" t="inlineStr">
        <is>
          <t>DLT รย.1 BEV+PHEV</t>
        </is>
      </c>
      <c r="B39" s="53" t="n">
        <v>15229</v>
      </c>
      <c r="C39" s="53" t="inlineStr">
        <is>
          <t>คัน</t>
        </is>
      </c>
      <c r="D39" s="53" t="inlineStr">
        <is>
          <t>DLT 30 เม.ย. 2569</t>
        </is>
      </c>
      <c r="E39" s="53" t="inlineStr">
        <is>
          <t>chargeable share 3.36%</t>
        </is>
      </c>
    </row>
    <row r="40" ht="55.2" customHeight="1">
      <c r="A40" s="53" t="inlineStr">
        <is>
          <t>DLT รถตามกฎหมายรถยนต์ BEV+PHEV</t>
        </is>
      </c>
      <c r="B40" s="53" t="n">
        <v>18189</v>
      </c>
      <c r="C40" s="53" t="inlineStr">
        <is>
          <t>คัน</t>
        </is>
      </c>
      <c r="D40" s="53" t="inlineStr">
        <is>
          <t>DLT 30 เม.ย. 2569</t>
        </is>
      </c>
      <c r="E40" s="53" t="inlineStr">
        <is>
          <t>ใช้สำหรับภาพรวมจังหวัด ไม่ใช่เฉพาะ รย.1</t>
        </is>
      </c>
    </row>
    <row r="41" ht="55.2" customHeight="1">
      <c r="A41" s="53" t="inlineStr">
        <is>
          <t>AADT Route 1141 ดอนจั่น-เชียงใหม่</t>
        </is>
      </c>
      <c r="B41" s="53" t="n">
        <v>118853</v>
      </c>
      <c r="C41" s="53" t="inlineStr">
        <is>
          <t>คัน/วัน</t>
        </is>
      </c>
      <c r="D41" s="53" t="inlineStr">
        <is>
          <t>DOH AADT 2566</t>
        </is>
      </c>
      <c r="E41" s="53" t="inlineStr">
        <is>
          <t>จุดสำรวจ 7+000</t>
        </is>
      </c>
    </row>
    <row r="42" ht="55.2" customHeight="1">
      <c r="A42" s="72" t="inlineStr">
        <is>
          <t>Model treatment v4</t>
        </is>
      </c>
      <c r="B42" s="72" t="inlineStr">
        <is>
          <t>ใช้ DLT BEV+PHEV สะสมเป็น seed ของปี 2026</t>
        </is>
      </c>
      <c r="C42" s="73" t="n">
        <v>15229</v>
      </c>
      <c r="D42" s="73" t="inlineStr">
        <is>
          <t>คัน</t>
        </is>
      </c>
      <c r="E42" s="73" t="inlineStr">
        <is>
          <t>แทนการปล่อยให้ตารางสะสมจาก legacy placeholder 6,200 ซึ่งทำให้ stock ต่ำกว่าค่าจริง</t>
        </is>
      </c>
    </row>
    <row r="43" ht="41.4" customHeight="1">
      <c r="A43" s="53" t="inlineStr">
        <is>
          <t>AADT Route 11 อุโมงค์-รินคำ</t>
        </is>
      </c>
      <c r="B43" s="53" t="n">
        <v>69988</v>
      </c>
      <c r="C43" s="53" t="inlineStr">
        <is>
          <t>คัน/วัน</t>
        </is>
      </c>
      <c r="D43" s="53" t="inlineStr">
        <is>
          <t>DOH AADT 2566</t>
        </is>
      </c>
      <c r="E43" s="53" t="inlineStr">
        <is>
          <t>จุดสำรวจ 543+850</t>
        </is>
      </c>
    </row>
    <row r="44">
      <c r="A44" s="81" t="inlineStr">
        <is>
          <t>Station calibration sensitivity v5</t>
        </is>
      </c>
      <c r="B44" s="81" t="inlineStr">
        <is>
          <t>Anchor</t>
        </is>
      </c>
      <c r="C44" s="81" t="inlineStr">
        <is>
          <t>Raw demand</t>
        </is>
      </c>
      <c r="D44" s="81" t="inlineStr">
        <is>
          <t>Calibration factor</t>
        </is>
      </c>
      <c r="E44" s="81" t="inlineStr">
        <is>
          <t>ผลหลัง calibration</t>
        </is>
      </c>
    </row>
    <row r="45">
      <c r="A45" s="82" t="inlineStr">
        <is>
          <t>Conservative verbal anchor</t>
        </is>
      </c>
      <c r="B45" s="82" t="n">
        <v>130</v>
      </c>
      <c r="C45" s="82" t="n">
        <v>318</v>
      </c>
      <c r="D45" s="82" t="n">
        <v>0.409</v>
      </c>
      <c r="E45" s="82" t="n">
        <v>130</v>
      </c>
    </row>
    <row r="46">
      <c r="A46" s="83" t="inlineStr">
        <is>
          <t>Confident sensitivity</t>
        </is>
      </c>
      <c r="B46" s="83" t="n">
        <v>200</v>
      </c>
      <c r="C46" s="83" t="n">
        <v>318</v>
      </c>
      <c r="D46" s="83" t="n">
        <v>0.629</v>
      </c>
      <c r="E46" s="83" t="n">
        <v>200</v>
      </c>
    </row>
    <row r="47">
      <c r="A47" s="83" t="inlineStr">
        <is>
          <t>Upper sensitivity from operator comment</t>
        </is>
      </c>
      <c r="B47" s="83" t="n">
        <v>300</v>
      </c>
      <c r="C47" s="83" t="n">
        <v>318</v>
      </c>
      <c r="D47" s="83" t="n">
        <v>0.9429999999999999</v>
      </c>
      <c r="E47" s="83" t="n">
        <v>300</v>
      </c>
    </row>
  </sheetData>
  <mergeCells count="4">
    <mergeCell ref="B11:E11"/>
    <mergeCell ref="B22:E22"/>
    <mergeCell ref="B5:E5"/>
    <mergeCell ref="B16:E16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zoomScale="110" zoomScaleNormal="110" workbookViewId="0">
      <selection activeCell="A13" sqref="A13:XFD13"/>
    </sheetView>
  </sheetViews>
  <sheetFormatPr baseColWidth="8" defaultColWidth="8.6640625" defaultRowHeight="14.4"/>
  <cols>
    <col width="3" customWidth="1" min="1" max="1"/>
    <col width="10" customWidth="1" min="2" max="2"/>
    <col width="22" customWidth="1" min="3" max="3"/>
    <col width="20" customWidth="1" min="4" max="6"/>
    <col width="22.77734375" customWidth="1" min="7" max="7"/>
  </cols>
  <sheetData>
    <row r="1" ht="20.4" customHeight="1">
      <c r="A1" s="49" t="inlineStr">
        <is>
          <t>ชั้นที่ 1 : S-curve การยอมรับ EV (logistic)</t>
        </is>
      </c>
      <c r="B1" s="58" t="n"/>
      <c r="C1" s="58" t="n"/>
      <c r="D1" s="58" t="n"/>
      <c r="E1" s="58" t="n"/>
      <c r="F1" s="58" t="n"/>
      <c r="G1" s="58" t="n"/>
    </row>
    <row r="2">
      <c r="A2" s="48" t="n"/>
      <c r="B2" s="51" t="inlineStr">
        <is>
          <t>สูตร: สัดส่วน BEV รถใหม่ = เพดาน ÷ (1+EXP(-growth×(ปี-midpoint))) × ตัวปรับจังหวัด. v4 ใช้ DLT เม.ย. 2569 เป็น calibration seed: รย.1 BEV 13,089 + PHEV 2,140 = 15,229 คัน สำหรับ EV สะสมปี 2026 แล้ว forecast ต่อจากจุดนี้</t>
        </is>
      </c>
      <c r="C2" s="58" t="n"/>
      <c r="D2" s="58" t="n"/>
      <c r="E2" s="58" t="n"/>
      <c r="F2" s="58" t="n"/>
      <c r="G2" s="58" t="n"/>
    </row>
    <row r="3">
      <c r="A3" s="58" t="n"/>
      <c r="B3" s="58" t="n"/>
      <c r="C3" s="58" t="n"/>
      <c r="D3" s="58" t="n"/>
      <c r="E3" s="58" t="n"/>
      <c r="F3" s="58" t="n"/>
      <c r="G3" s="58" t="n"/>
    </row>
    <row r="4">
      <c r="A4" s="58" t="n"/>
      <c r="B4" s="74" t="inlineStr">
        <is>
          <t>ปี</t>
        </is>
      </c>
      <c r="C4" s="74" t="inlineStr">
        <is>
          <t>สัดส่วน BEV รถใหม่</t>
        </is>
      </c>
      <c r="D4" s="74" t="inlineStr">
        <is>
          <t>BEV ใหม่/ปีจาก S-curve (คัน)</t>
        </is>
      </c>
      <c r="E4" s="74" t="inlineStr">
        <is>
          <t>ปลดระวาง/ปี (คัน)</t>
        </is>
      </c>
      <c r="F4" s="74" t="inlineStr">
        <is>
          <t>EV สะสมในกลุ่มรถ / DLT-seeded stock</t>
        </is>
      </c>
      <c r="G4" s="74" t="inlineStr">
        <is>
          <t>สัดส่วน EV ในกลุ่มรถ</t>
        </is>
      </c>
      <c r="H4" s="75" t="inlineStr">
        <is>
          <t>สถานะข้อมูล</t>
        </is>
      </c>
    </row>
    <row r="5">
      <c r="A5" s="58" t="n"/>
      <c r="B5" s="17" t="inlineStr">
        <is>
          <t>2018</t>
        </is>
      </c>
      <c r="C5" s="18">
        <f>MIN('2.สมมติฐาน'!$C$6/(1+EXP(-'2.สมมติฐาน'!$C$7*(2018-'2.สมมติฐาน'!$C$8)))*'2.สมมติฐาน'!$C$9,'2.สมมติฐาน'!$C$6)</f>
        <v/>
      </c>
      <c r="D5" s="19">
        <f>'2.สมมติฐาน'!$C$12*C5</f>
        <v/>
      </c>
      <c r="E5" s="19" t="n">
        <v>0</v>
      </c>
      <c r="F5" s="19">
        <f>MAX(D5-E5,0)</f>
        <v/>
      </c>
      <c r="G5" s="20">
        <f>F5/'2.สมมติฐาน'!$C$13</f>
        <v/>
      </c>
      <c r="H5" t="inlineStr">
        <is>
          <t>ย้อนหลังก่อน seed; ใช้ดูแนวโน้มเท่านั้น</t>
        </is>
      </c>
    </row>
    <row r="6">
      <c r="A6" s="58" t="n"/>
      <c r="B6" s="17" t="inlineStr">
        <is>
          <t>2019</t>
        </is>
      </c>
      <c r="C6" s="18">
        <f>MIN('2.สมมติฐาน'!$C$6/(1+EXP(-'2.สมมติฐาน'!$C$7*(2019-'2.สมมติฐาน'!$C$8)))*'2.สมมติฐาน'!$C$9,'2.สมมติฐาน'!$C$6)</f>
        <v/>
      </c>
      <c r="D6" s="19">
        <f>'2.สมมติฐาน'!$C$12*C6</f>
        <v/>
      </c>
      <c r="E6" s="19" t="n">
        <v>0</v>
      </c>
      <c r="F6" s="19">
        <f>MAX(F5+D6-E6,0)</f>
        <v/>
      </c>
      <c r="G6" s="20">
        <f>F6/'2.สมมติฐาน'!$C$13</f>
        <v/>
      </c>
      <c r="H6" t="inlineStr">
        <is>
          <t>ย้อนหลังก่อน seed; ใช้ดูแนวโน้มเท่านั้น</t>
        </is>
      </c>
    </row>
    <row r="7">
      <c r="A7" s="58" t="n"/>
      <c r="B7" s="17" t="inlineStr">
        <is>
          <t>2020</t>
        </is>
      </c>
      <c r="C7" s="18">
        <f>MIN('2.สมมติฐาน'!$C$6/(1+EXP(-'2.สมมติฐาน'!$C$7*(2020-'2.สมมติฐาน'!$C$8)))*'2.สมมติฐาน'!$C$9,'2.สมมติฐาน'!$C$6)</f>
        <v/>
      </c>
      <c r="D7" s="19">
        <f>'2.สมมติฐาน'!$C$12*C7</f>
        <v/>
      </c>
      <c r="E7" s="19" t="n">
        <v>0</v>
      </c>
      <c r="F7" s="19">
        <f>MAX(F6+D7-E7,0)</f>
        <v/>
      </c>
      <c r="G7" s="20">
        <f>F7/'2.สมมติฐาน'!$C$13</f>
        <v/>
      </c>
      <c r="H7" t="inlineStr">
        <is>
          <t>ย้อนหลังก่อน seed; ใช้ดูแนวโน้มเท่านั้น</t>
        </is>
      </c>
    </row>
    <row r="8">
      <c r="A8" s="58" t="n"/>
      <c r="B8" s="17" t="inlineStr">
        <is>
          <t>2021</t>
        </is>
      </c>
      <c r="C8" s="18">
        <f>MIN('2.สมมติฐาน'!$C$6/(1+EXP(-'2.สมมติฐาน'!$C$7*(2021-'2.สมมติฐาน'!$C$8)))*'2.สมมติฐาน'!$C$9,'2.สมมติฐาน'!$C$6)</f>
        <v/>
      </c>
      <c r="D8" s="19">
        <f>'2.สมมติฐาน'!$C$12*C8</f>
        <v/>
      </c>
      <c r="E8" s="19" t="n">
        <v>0</v>
      </c>
      <c r="F8" s="19">
        <f>MAX(F7+D8-E8,0)</f>
        <v/>
      </c>
      <c r="G8" s="20">
        <f>F8/'2.สมมติฐาน'!$C$13</f>
        <v/>
      </c>
      <c r="H8" t="inlineStr">
        <is>
          <t>ย้อนหลังก่อน seed; ใช้ดูแนวโน้มเท่านั้น</t>
        </is>
      </c>
    </row>
    <row r="9">
      <c r="A9" s="58" t="n"/>
      <c r="B9" s="17" t="inlineStr">
        <is>
          <t>2022</t>
        </is>
      </c>
      <c r="C9" s="18">
        <f>MIN('2.สมมติฐาน'!$C$6/(1+EXP(-'2.สมมติฐาน'!$C$7*(2022-'2.สมมติฐาน'!$C$8)))*'2.สมมติฐาน'!$C$9,'2.สมมติฐาน'!$C$6)</f>
        <v/>
      </c>
      <c r="D9" s="19">
        <f>'2.สมมติฐาน'!$C$12*C9</f>
        <v/>
      </c>
      <c r="E9" s="19" t="n">
        <v>0</v>
      </c>
      <c r="F9" s="19">
        <f>MAX(F8+D9-E9,0)</f>
        <v/>
      </c>
      <c r="G9" s="20">
        <f>F9/'2.สมมติฐาน'!$C$13</f>
        <v/>
      </c>
      <c r="H9" t="inlineStr">
        <is>
          <t>ย้อนหลังก่อน seed; ใช้ดูแนวโน้มเท่านั้น</t>
        </is>
      </c>
    </row>
    <row r="10">
      <c r="A10" s="58" t="n"/>
      <c r="B10" s="17" t="inlineStr">
        <is>
          <t>2023</t>
        </is>
      </c>
      <c r="C10" s="18">
        <f>MIN('2.สมมติฐาน'!$C$6/(1+EXP(-'2.สมมติฐาน'!$C$7*(2023-'2.สมมติฐาน'!$C$8)))*'2.สมมติฐาน'!$C$9,'2.สมมติฐาน'!$C$6)</f>
        <v/>
      </c>
      <c r="D10" s="19">
        <f>'2.สมมติฐาน'!$C$12*C10</f>
        <v/>
      </c>
      <c r="E10" s="19" t="n">
        <v>0</v>
      </c>
      <c r="F10" s="19">
        <f>MAX(F9+D10-E10,0)</f>
        <v/>
      </c>
      <c r="G10" s="20">
        <f>F10/'2.สมมติฐาน'!$C$13</f>
        <v/>
      </c>
      <c r="H10" t="inlineStr">
        <is>
          <t>ย้อนหลังก่อน seed; ใช้ดูแนวโน้มเท่านั้น</t>
        </is>
      </c>
    </row>
    <row r="11">
      <c r="A11" s="58" t="n"/>
      <c r="B11" s="17" t="inlineStr">
        <is>
          <t>2024</t>
        </is>
      </c>
      <c r="C11" s="18">
        <f>MIN('2.สมมติฐาน'!$C$6/(1+EXP(-'2.สมมติฐาน'!$C$7*(2024-'2.สมมติฐาน'!$C$8)))*'2.สมมติฐาน'!$C$9,'2.สมมติฐาน'!$C$6)</f>
        <v/>
      </c>
      <c r="D11" s="19">
        <f>'2.สมมติฐาน'!$C$12*C11</f>
        <v/>
      </c>
      <c r="E11" s="19" t="n">
        <v>0</v>
      </c>
      <c r="F11" s="19">
        <f>MAX(F10+D11-E11,0)</f>
        <v/>
      </c>
      <c r="G11" s="20">
        <f>F11/'2.สมมติฐาน'!$C$13</f>
        <v/>
      </c>
      <c r="H11" t="inlineStr">
        <is>
          <t>ย้อนหลังก่อน seed; ใช้ดูแนวโน้มเท่านั้น</t>
        </is>
      </c>
    </row>
    <row r="12">
      <c r="A12" s="58" t="n"/>
      <c r="B12" s="21" t="inlineStr">
        <is>
          <t>2025</t>
        </is>
      </c>
      <c r="C12" s="22">
        <f>MIN('2.สมมติฐาน'!$C$6/(1+EXP(-'2.สมมติฐาน'!$C$7*(2025-'2.สมมติฐาน'!$C$8)))*'2.สมมติฐาน'!$C$9,'2.สมมติฐาน'!$C$6)</f>
        <v/>
      </c>
      <c r="D12" s="23">
        <f>'2.สมมติฐาน'!$C$12*C12</f>
        <v/>
      </c>
      <c r="E12" s="23" t="n">
        <v>0</v>
      </c>
      <c r="F12" s="23">
        <f>MAX(F11+D12-E12,0)</f>
        <v/>
      </c>
      <c r="G12" s="24">
        <f>F12/'2.สมมติฐาน'!$C$13</f>
        <v/>
      </c>
      <c r="H12" t="inlineStr">
        <is>
          <t>ย้อนหลังก่อน seed; ใช้ดูแนวโน้มเท่านั้น</t>
        </is>
      </c>
    </row>
    <row r="13">
      <c r="A13" s="58" t="n"/>
      <c r="B13" s="76" t="inlineStr">
        <is>
          <t>2026</t>
        </is>
      </c>
      <c r="C13" s="77">
        <f>MIN('2.สมมติฐาน'!$C$6/(1+EXP(-'2.สมมติฐาน'!$C$7*(2026-'2.สมมติฐาน'!$C$8)))*'2.สมมติฐาน'!$C$9,'2.สมมติฐาน'!$C$6)</f>
        <v/>
      </c>
      <c r="D13" s="78">
        <f>'2.สมมติฐาน'!$C$12*C13</f>
        <v/>
      </c>
      <c r="E13" s="78" t="n">
        <v>0</v>
      </c>
      <c r="F13" s="78">
        <f>'2.สมมติฐาน'!$B$39</f>
        <v/>
      </c>
      <c r="G13" s="79">
        <f>F13/'2.สมมติฐาน'!$C$13</f>
        <v/>
      </c>
      <c r="H13" s="80" t="inlineStr">
        <is>
          <t>Seed จาก DLT BEV+PHEV สะสม</t>
        </is>
      </c>
    </row>
    <row r="14">
      <c r="A14" s="58" t="n"/>
      <c r="B14" s="17" t="inlineStr">
        <is>
          <t>2027</t>
        </is>
      </c>
      <c r="C14" s="18">
        <f>MIN('2.สมมติฐาน'!$C$6/(1+EXP(-'2.สมมติฐาน'!$C$7*(2027-'2.สมมติฐาน'!$C$8)))*'2.สมมติฐาน'!$C$9,'2.สมมติฐาน'!$C$6)</f>
        <v/>
      </c>
      <c r="D14" s="19">
        <f>'2.สมมติฐาน'!$C$12*C14</f>
        <v/>
      </c>
      <c r="E14" s="19" t="n">
        <v>0</v>
      </c>
      <c r="F14" s="19">
        <f>MAX(F13+D14-E14,0)</f>
        <v/>
      </c>
      <c r="G14" s="20">
        <f>F14/'2.สมมติฐาน'!$C$13</f>
        <v/>
      </c>
      <c r="H14" t="inlineStr">
        <is>
          <t>Forecast ต่อจาก DLT seed</t>
        </is>
      </c>
    </row>
    <row r="15">
      <c r="A15" s="58" t="n"/>
      <c r="B15" s="17" t="inlineStr">
        <is>
          <t>2028</t>
        </is>
      </c>
      <c r="C15" s="18">
        <f>MIN('2.สมมติฐาน'!$C$6/(1+EXP(-'2.สมมติฐาน'!$C$7*(2028-'2.สมมติฐาน'!$C$8)))*'2.สมมติฐาน'!$C$9,'2.สมมติฐาน'!$C$6)</f>
        <v/>
      </c>
      <c r="D15" s="19">
        <f>'2.สมมติฐาน'!$C$12*C15</f>
        <v/>
      </c>
      <c r="E15" s="19" t="n">
        <v>0</v>
      </c>
      <c r="F15" s="19">
        <f>MAX(F14+D15-E15,0)</f>
        <v/>
      </c>
      <c r="G15" s="20">
        <f>F15/'2.สมมติฐาน'!$C$13</f>
        <v/>
      </c>
      <c r="H15" t="inlineStr">
        <is>
          <t>Forecast ต่อจาก DLT seed</t>
        </is>
      </c>
    </row>
    <row r="16">
      <c r="A16" s="58" t="n"/>
      <c r="B16" s="17" t="inlineStr">
        <is>
          <t>2029</t>
        </is>
      </c>
      <c r="C16" s="18">
        <f>MIN('2.สมมติฐาน'!$C$6/(1+EXP(-'2.สมมติฐาน'!$C$7*(2029-'2.สมมติฐาน'!$C$8)))*'2.สมมติฐาน'!$C$9,'2.สมมติฐาน'!$C$6)</f>
        <v/>
      </c>
      <c r="D16" s="19">
        <f>'2.สมมติฐาน'!$C$12*C16</f>
        <v/>
      </c>
      <c r="E16" s="19" t="n">
        <v>0</v>
      </c>
      <c r="F16" s="19">
        <f>MAX(F15+D16-E16,0)</f>
        <v/>
      </c>
      <c r="G16" s="20">
        <f>F16/'2.สมมติฐาน'!$C$13</f>
        <v/>
      </c>
      <c r="H16" t="inlineStr">
        <is>
          <t>Forecast ต่อจาก DLT seed</t>
        </is>
      </c>
    </row>
    <row r="17">
      <c r="A17" s="58" t="n"/>
      <c r="B17" s="21" t="inlineStr">
        <is>
          <t>2030</t>
        </is>
      </c>
      <c r="C17" s="22">
        <f>MIN('2.สมมติฐาน'!$C$6/(1+EXP(-'2.สมมติฐาน'!$C$7*(2030-'2.สมมติฐาน'!$C$8)))*'2.สมมติฐาน'!$C$9,'2.สมมติฐาน'!$C$6)</f>
        <v/>
      </c>
      <c r="D17" s="23">
        <f>'2.สมมติฐาน'!$C$12*C17</f>
        <v/>
      </c>
      <c r="E17" s="23" t="n">
        <v>0</v>
      </c>
      <c r="F17" s="23">
        <f>MAX(F16+D17-E17,0)</f>
        <v/>
      </c>
      <c r="G17" s="24">
        <f>F17/'2.สมมติฐาน'!$C$13</f>
        <v/>
      </c>
      <c r="H17" t="inlineStr">
        <is>
          <t>Forecast ต่อจาก DLT seed</t>
        </is>
      </c>
    </row>
    <row r="18">
      <c r="A18" s="58" t="n"/>
      <c r="B18" s="17" t="inlineStr">
        <is>
          <t>2031</t>
        </is>
      </c>
      <c r="C18" s="18">
        <f>MIN('2.สมมติฐาน'!$C$6/(1+EXP(-'2.สมมติฐาน'!$C$7*(2031-'2.สมมติฐาน'!$C$8)))*'2.สมมติฐาน'!$C$9,'2.สมมติฐาน'!$C$6)</f>
        <v/>
      </c>
      <c r="D18" s="19">
        <f>'2.สมมติฐาน'!$C$12*C18</f>
        <v/>
      </c>
      <c r="E18" s="19" t="n">
        <v>0</v>
      </c>
      <c r="F18" s="19">
        <f>MAX(F17+D18-E18,0)</f>
        <v/>
      </c>
      <c r="G18" s="20">
        <f>F18/'2.สมมติฐาน'!$C$13</f>
        <v/>
      </c>
      <c r="H18" t="inlineStr">
        <is>
          <t>Forecast ต่อจาก DLT seed</t>
        </is>
      </c>
    </row>
    <row r="19">
      <c r="A19" s="58" t="n"/>
      <c r="B19" s="17" t="inlineStr">
        <is>
          <t>2032</t>
        </is>
      </c>
      <c r="C19" s="18">
        <f>MIN('2.สมมติฐาน'!$C$6/(1+EXP(-'2.สมมติฐาน'!$C$7*(2032-'2.สมมติฐาน'!$C$8)))*'2.สมมติฐาน'!$C$9,'2.สมมติฐาน'!$C$6)</f>
        <v/>
      </c>
      <c r="D19" s="19">
        <f>'2.สมมติฐาน'!$C$12*C19</f>
        <v/>
      </c>
      <c r="E19" s="19">
        <f>'2.สมมติฐาน'!$C$12*C5</f>
        <v/>
      </c>
      <c r="F19" s="19">
        <f>MAX(F18+D19-E19,0)</f>
        <v/>
      </c>
      <c r="G19" s="20">
        <f>F19/'2.สมมติฐาน'!$C$13</f>
        <v/>
      </c>
      <c r="H19" t="inlineStr">
        <is>
          <t>Forecast ต่อจาก DLT seed</t>
        </is>
      </c>
    </row>
    <row r="20">
      <c r="A20" s="58" t="n"/>
      <c r="B20" s="17" t="inlineStr">
        <is>
          <t>2033</t>
        </is>
      </c>
      <c r="C20" s="18">
        <f>MIN('2.สมมติฐาน'!$C$6/(1+EXP(-'2.สมมติฐาน'!$C$7*(2033-'2.สมมติฐาน'!$C$8)))*'2.สมมติฐาน'!$C$9,'2.สมมติฐาน'!$C$6)</f>
        <v/>
      </c>
      <c r="D20" s="19">
        <f>'2.สมมติฐาน'!$C$12*C20</f>
        <v/>
      </c>
      <c r="E20" s="19">
        <f>'2.สมมติฐาน'!$C$12*C6</f>
        <v/>
      </c>
      <c r="F20" s="19">
        <f>MAX(F19+D20-E20,0)</f>
        <v/>
      </c>
      <c r="G20" s="20">
        <f>F20/'2.สมมติฐาน'!$C$13</f>
        <v/>
      </c>
      <c r="H20" t="inlineStr">
        <is>
          <t>Forecast ต่อจาก DLT seed</t>
        </is>
      </c>
    </row>
    <row r="21">
      <c r="A21" s="58" t="n"/>
      <c r="B21" s="17" t="inlineStr">
        <is>
          <t>2034</t>
        </is>
      </c>
      <c r="C21" s="18">
        <f>MIN('2.สมมติฐาน'!$C$6/(1+EXP(-'2.สมมติฐาน'!$C$7*(2034-'2.สมมติฐาน'!$C$8)))*'2.สมมติฐาน'!$C$9,'2.สมมติฐาน'!$C$6)</f>
        <v/>
      </c>
      <c r="D21" s="19">
        <f>'2.สมมติฐาน'!$C$12*C21</f>
        <v/>
      </c>
      <c r="E21" s="19">
        <f>'2.สมมติฐาน'!$C$12*C7</f>
        <v/>
      </c>
      <c r="F21" s="19">
        <f>MAX(F20+D21-E21,0)</f>
        <v/>
      </c>
      <c r="G21" s="20">
        <f>F21/'2.สมมติฐาน'!$C$13</f>
        <v/>
      </c>
      <c r="H21" t="inlineStr">
        <is>
          <t>Forecast ต่อจาก DLT seed</t>
        </is>
      </c>
    </row>
    <row r="22">
      <c r="A22" s="58" t="n"/>
      <c r="B22" s="17" t="inlineStr">
        <is>
          <t>2035</t>
        </is>
      </c>
      <c r="C22" s="18">
        <f>MIN('2.สมมติฐาน'!$C$6/(1+EXP(-'2.สมมติฐาน'!$C$7*(2035-'2.สมมติฐาน'!$C$8)))*'2.สมมติฐาน'!$C$9,'2.สมมติฐาน'!$C$6)</f>
        <v/>
      </c>
      <c r="D22" s="19">
        <f>'2.สมมติฐาน'!$C$12*C22</f>
        <v/>
      </c>
      <c r="E22" s="19">
        <f>'2.สมมติฐาน'!$C$12*C8</f>
        <v/>
      </c>
      <c r="F22" s="19">
        <f>MAX(F21+D22-E22,0)</f>
        <v/>
      </c>
      <c r="G22" s="20">
        <f>F22/'2.สมมติฐาน'!$C$13</f>
        <v/>
      </c>
      <c r="H22" t="inlineStr">
        <is>
          <t>Forecast ต่อจาก DLT seed</t>
        </is>
      </c>
    </row>
    <row r="23">
      <c r="A23" s="58" t="n"/>
      <c r="B23" s="17" t="inlineStr">
        <is>
          <t>2036</t>
        </is>
      </c>
      <c r="C23" s="18">
        <f>MIN('2.สมมติฐาน'!$C$6/(1+EXP(-'2.สมมติฐาน'!$C$7*(2036-'2.สมมติฐาน'!$C$8)))*'2.สมมติฐาน'!$C$9,'2.สมมติฐาน'!$C$6)</f>
        <v/>
      </c>
      <c r="D23" s="19">
        <f>'2.สมมติฐาน'!$C$12*C23</f>
        <v/>
      </c>
      <c r="E23" s="19">
        <f>'2.สมมติฐาน'!$C$12*C9</f>
        <v/>
      </c>
      <c r="F23" s="19">
        <f>MAX(F22+D23-E23,0)</f>
        <v/>
      </c>
      <c r="G23" s="20">
        <f>F23/'2.สมมติฐาน'!$C$13</f>
        <v/>
      </c>
      <c r="H23" t="inlineStr">
        <is>
          <t>Forecast ต่อจาก DLT seed</t>
        </is>
      </c>
    </row>
    <row r="24">
      <c r="A24" s="58" t="n"/>
      <c r="B24" s="17" t="inlineStr">
        <is>
          <t>2037</t>
        </is>
      </c>
      <c r="C24" s="18">
        <f>MIN('2.สมมติฐาน'!$C$6/(1+EXP(-'2.สมมติฐาน'!$C$7*(2037-'2.สมมติฐาน'!$C$8)))*'2.สมมติฐาน'!$C$9,'2.สมมติฐาน'!$C$6)</f>
        <v/>
      </c>
      <c r="D24" s="19">
        <f>'2.สมมติฐาน'!$C$12*C24</f>
        <v/>
      </c>
      <c r="E24" s="19">
        <f>'2.สมมติฐาน'!$C$12*C10</f>
        <v/>
      </c>
      <c r="F24" s="19">
        <f>MAX(F23+D24-E24,0)</f>
        <v/>
      </c>
      <c r="G24" s="20">
        <f>F24/'2.สมมติฐาน'!$C$13</f>
        <v/>
      </c>
      <c r="H24" t="inlineStr">
        <is>
          <t>Forecast ต่อจาก DLT seed</t>
        </is>
      </c>
    </row>
    <row r="25">
      <c r="A25" s="58" t="n"/>
      <c r="B25" s="17" t="inlineStr">
        <is>
          <t>2038</t>
        </is>
      </c>
      <c r="C25" s="18">
        <f>MIN('2.สมมติฐาน'!$C$6/(1+EXP(-'2.สมมติฐาน'!$C$7*(2038-'2.สมมติฐาน'!$C$8)))*'2.สมมติฐาน'!$C$9,'2.สมมติฐาน'!$C$6)</f>
        <v/>
      </c>
      <c r="D25" s="19">
        <f>'2.สมมติฐาน'!$C$12*C25</f>
        <v/>
      </c>
      <c r="E25" s="19">
        <f>'2.สมมติฐาน'!$C$12*C11</f>
        <v/>
      </c>
      <c r="F25" s="19">
        <f>MAX(F24+D25-E25,0)</f>
        <v/>
      </c>
      <c r="G25" s="20">
        <f>F25/'2.สมมติฐาน'!$C$13</f>
        <v/>
      </c>
      <c r="H25" t="inlineStr">
        <is>
          <t>Forecast ต่อจาก DLT seed</t>
        </is>
      </c>
    </row>
    <row r="26">
      <c r="A26" s="58" t="n"/>
      <c r="B26" s="17" t="inlineStr">
        <is>
          <t>2039</t>
        </is>
      </c>
      <c r="C26" s="18">
        <f>MIN('2.สมมติฐาน'!$C$6/(1+EXP(-'2.สมมติฐาน'!$C$7*(2039-'2.สมมติฐาน'!$C$8)))*'2.สมมติฐาน'!$C$9,'2.สมมติฐาน'!$C$6)</f>
        <v/>
      </c>
      <c r="D26" s="19">
        <f>'2.สมมติฐาน'!$C$12*C26</f>
        <v/>
      </c>
      <c r="E26" s="19">
        <f>'2.สมมติฐาน'!$C$12*C12</f>
        <v/>
      </c>
      <c r="F26" s="19">
        <f>MAX(F25+D26-E26,0)</f>
        <v/>
      </c>
      <c r="G26" s="20">
        <f>F26/'2.สมมติฐาน'!$C$13</f>
        <v/>
      </c>
      <c r="H26" t="inlineStr">
        <is>
          <t>Forecast ต่อจาก DLT seed</t>
        </is>
      </c>
    </row>
    <row r="27">
      <c r="A27" s="58" t="n"/>
      <c r="B27" s="17" t="inlineStr">
        <is>
          <t>2040</t>
        </is>
      </c>
      <c r="C27" s="18">
        <f>MIN('2.สมมติฐาน'!$C$6/(1+EXP(-'2.สมมติฐาน'!$C$7*(2040-'2.สมมติฐาน'!$C$8)))*'2.สมมติฐาน'!$C$9,'2.สมมติฐาน'!$C$6)</f>
        <v/>
      </c>
      <c r="D27" s="19">
        <f>'2.สมมติฐาน'!$C$12*C27</f>
        <v/>
      </c>
      <c r="E27" s="19">
        <f>'2.สมมติฐาน'!$C$12*C13</f>
        <v/>
      </c>
      <c r="F27" s="19">
        <f>MAX(F26+D27-E27,0)</f>
        <v/>
      </c>
      <c r="G27" s="20">
        <f>F27/'2.สมมติฐาน'!$C$13</f>
        <v/>
      </c>
      <c r="H27" t="inlineStr">
        <is>
          <t>Forecast ต่อจาก DLT seed</t>
        </is>
      </c>
    </row>
    <row r="28">
      <c r="A28" s="58" t="n"/>
      <c r="B28" s="58" t="n"/>
      <c r="C28" s="58" t="n"/>
      <c r="D28" s="58" t="n"/>
      <c r="E28" s="58" t="n"/>
      <c r="F28" s="58" t="n"/>
      <c r="G28" s="58" t="n"/>
    </row>
    <row r="29" ht="39.75" customHeight="1">
      <c r="A29" s="58" t="n"/>
      <c r="B29" s="57" t="inlineStr">
        <is>
          <t>หมายเหตุ v4: ค่า 6,200 ในชีตสมมติฐานเป็น legacy placeholder สำหรับ new-car scaling เท่านั้น ไม่ใช่จำนวน BEV สะสม. ตั้งแต่ปี 2026 ตารางใช้ DLT BEV+PHEV สะสม 15,229 คันเป็น seed แล้วค่อย forecast ต่อ</t>
        </is>
      </c>
    </row>
  </sheetData>
  <mergeCells count="1">
    <mergeCell ref="B29:G29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topLeftCell="A10" zoomScale="110" zoomScaleNormal="110" workbookViewId="0">
      <selection activeCell="G8" sqref="G8"/>
    </sheetView>
  </sheetViews>
  <sheetFormatPr baseColWidth="8" defaultColWidth="8.6640625" defaultRowHeight="14.4"/>
  <cols>
    <col width="13.109375" customWidth="1" min="1" max="1"/>
    <col width="36" customWidth="1" min="2" max="2"/>
    <col width="16" customWidth="1" min="3" max="3"/>
    <col width="4" customWidth="1" min="4" max="4"/>
    <col width="42" customWidth="1" min="5" max="5"/>
  </cols>
  <sheetData>
    <row r="1" ht="20.4" customHeight="1">
      <c r="A1" s="9" t="inlineStr">
        <is>
          <t>ชั้นที่ 2 : ความต้องการสถานี (4 องค์ประกอบ)</t>
        </is>
      </c>
      <c r="B1" s="58" t="n"/>
      <c r="C1" s="58" t="n"/>
      <c r="D1" s="58" t="n"/>
      <c r="E1" s="58" t="n"/>
    </row>
    <row r="2" ht="43.2" customHeight="1">
      <c r="A2" s="11" t="n"/>
      <c r="B2" s="58" t="inlineStr">
        <is>
          <t>ตัวอย่างสถานี Super Hub 12 หัวชาร์จ — ใช้เพื่ออธิบาย logic ของโมเดล ไม่ใช่ผลยืนยันเชิงสถิติ</t>
        </is>
      </c>
      <c r="C2" s="58" t="n"/>
      <c r="D2" s="58" t="n"/>
      <c r="E2" s="58" t="n"/>
    </row>
    <row r="3">
      <c r="A3" s="58" t="n"/>
      <c r="B3" s="58" t="n"/>
      <c r="C3" s="58" t="n"/>
      <c r="D3" s="58" t="n"/>
      <c r="E3" s="58" t="n"/>
    </row>
    <row r="4" ht="15.6" customHeight="1">
      <c r="A4" s="58" t="n"/>
      <c r="B4" s="25" t="inlineStr">
        <is>
          <t>ปีที่วิเคราะห์ →</t>
        </is>
      </c>
      <c r="C4" s="26" t="n">
        <v>2026</v>
      </c>
      <c r="D4" s="58" t="n"/>
      <c r="E4" s="58" t="n"/>
    </row>
    <row r="5">
      <c r="A5" s="58" t="n"/>
      <c r="B5" s="58" t="n"/>
      <c r="C5" s="58" t="n"/>
      <c r="D5" s="58" t="n"/>
      <c r="E5" s="58" t="n"/>
    </row>
    <row r="6">
      <c r="A6" s="58" t="n"/>
      <c r="B6" s="2" t="inlineStr">
        <is>
          <t>องค์ประกอบ</t>
        </is>
      </c>
      <c r="C6" s="2" t="inlineStr">
        <is>
          <t>ครั้ง/วัน</t>
        </is>
      </c>
      <c r="D6" s="2" t="n"/>
      <c r="E6" s="2" t="inlineStr">
        <is>
          <t>คำอธิบายสูตร</t>
        </is>
      </c>
    </row>
    <row r="7">
      <c r="A7" s="58" t="n"/>
      <c r="B7" s="27" t="inlineStr">
        <is>
          <t>EV สะสมในเชียงใหม่ (ปีที่เลือก)</t>
        </is>
      </c>
      <c r="C7" s="28">
        <f>INDEX('3.S-curve การยอมรับ'!F:F,MATCH(TEXT('4.Demand สถานี'!$C$4,"0"),'3.S-curve การยอมรับ'!B:B,0))</f>
        <v/>
      </c>
      <c r="D7" s="66" t="inlineStr">
        <is>
          <t>ดึงจากตาราง S-curve ตามปี</t>
        </is>
      </c>
    </row>
    <row r="8" ht="24" customHeight="1">
      <c r="A8" s="58" t="n"/>
      <c r="B8" s="13" t="inlineStr">
        <is>
          <t>1. ผู้อยู่อาศัย (resident)</t>
        </is>
      </c>
      <c r="C8" s="29">
        <f>ROUND(C7*'2.สมมติฐาน'!$C$23*'2.สมมติฐาน'!$C$24/7*'2.สมมติฐาน'!$C$25,0)</f>
        <v/>
      </c>
      <c r="D8" s="65" t="inlineStr">
        <is>
          <t>EV สะสม × พึ่งสาธารณะ × ครั้ง/สัปดาห์ ÷7 × capture</t>
        </is>
      </c>
    </row>
    <row r="9" ht="24" customHeight="1">
      <c r="A9" s="58" t="n"/>
      <c r="B9" s="13" t="inlineStr">
        <is>
          <t>2. แอพเรียกรถ (ride-hail)</t>
        </is>
      </c>
      <c r="C9" s="29">
        <f>ROUND('2.สมมติฐาน'!$C$26*'2.สมมติฐาน'!$C$27*1*0.3,0)</f>
        <v/>
      </c>
      <c r="D9" s="65" t="inlineStr">
        <is>
          <t>คนขับ × %EV × ครั้ง/วัน × capture(0.30)</t>
        </is>
      </c>
    </row>
    <row r="10" ht="24" customHeight="1">
      <c r="A10" s="58" t="n"/>
      <c r="B10" s="13" t="inlineStr">
        <is>
          <t>3. นักท่องเที่ยว (tourist)</t>
        </is>
      </c>
      <c r="C10" s="29">
        <f>ROUND('2.สมมติฐาน'!$C$28*0.1*4*0.05*0.5*0.3*0.25,0)</f>
        <v/>
      </c>
      <c r="D10" s="65" t="inlineStr">
        <is>
          <t>มาถึง × เช่า10% × 4วัน × EV5% × 0.5/วัน × สาธารณะ30% × capture25%</t>
        </is>
      </c>
    </row>
    <row r="11" ht="24" customHeight="1">
      <c r="A11" s="58" t="n"/>
      <c r="B11" s="13" t="inlineStr">
        <is>
          <t>4. ขนส่ง (transit)</t>
        </is>
      </c>
      <c r="C11" s="29">
        <f>ROUND(20*0.25,0)</f>
        <v/>
      </c>
      <c r="D11" s="65" t="inlineStr">
        <is>
          <t>EV ขนส่ง 20 × capture 0.25</t>
        </is>
      </c>
    </row>
    <row r="12">
      <c r="A12" s="58" t="n"/>
      <c r="B12" s="30" t="inlineStr">
        <is>
          <t>รวมดิบ (ก่อน calibration)</t>
        </is>
      </c>
      <c r="C12" s="31">
        <f>SUM(C8:C11)</f>
        <v/>
      </c>
      <c r="D12" s="58" t="n"/>
      <c r="E12" s="58" t="n"/>
    </row>
    <row r="13" ht="26.4" customHeight="1">
      <c r="A13" s="58" t="n"/>
      <c r="B13" s="32" t="inlineStr">
        <is>
          <t>ครั้งชาร์จ/วัน (หลัง calibration ×0.409)</t>
        </is>
      </c>
      <c r="C13" s="33">
        <f>ROUND(C12*'2.สมมติฐาน'!$C$29,0)</f>
        <v/>
      </c>
      <c r="D13" s="58" t="n"/>
      <c r="E13" s="58" t="n"/>
    </row>
    <row r="14">
      <c r="A14" s="58" t="n"/>
      <c r="B14" s="27" t="inlineStr">
        <is>
          <t>พลังงาน/วัน (kWh)</t>
        </is>
      </c>
      <c r="C14" s="34">
        <f>ROUND(C13*'2.สมมติฐาน'!$C$30,0)</f>
        <v/>
      </c>
      <c r="D14" s="58" t="n"/>
      <c r="E14" s="58" t="n"/>
    </row>
    <row r="15">
      <c r="A15" s="58" t="n"/>
      <c r="B15" s="27" t="inlineStr">
        <is>
          <t>อัตราใช้งาน (12 หัว × 22 ครั้ง)</t>
        </is>
      </c>
      <c r="C15" s="35">
        <f>C13/(12*'2.สมมติฐาน'!$C$31)</f>
        <v/>
      </c>
      <c r="D15" s="58" t="n"/>
      <c r="E15" s="58" t="n"/>
    </row>
    <row r="16">
      <c r="A16" s="58" t="n"/>
      <c r="B16" s="58" t="n"/>
      <c r="C16" s="58" t="n"/>
      <c r="D16" s="58" t="n"/>
      <c r="E16" s="58" t="n"/>
    </row>
    <row r="17" ht="39.75" customHeight="1">
      <c r="A17" s="58" t="n"/>
      <c r="B17" s="57" t="inlineStr">
        <is>
          <t>v5 recalibration: หลังใช้ DLT BEV+PHEV สะสมเป็น seed ปี 2026 raw demand ประมาณ 318 ครั้ง/วัน. ถ้ายึด anchor 130 ครั้ง/วัน factor = 130÷318 = 0.409. หากใช้ operator sensitivity 200/300 factor = 0.629/0.943 ตามลำดับ</t>
        </is>
      </c>
    </row>
  </sheetData>
  <mergeCells count="6">
    <mergeCell ref="D8:E8"/>
    <mergeCell ref="B17:E17"/>
    <mergeCell ref="D7:E7"/>
    <mergeCell ref="D10:E10"/>
    <mergeCell ref="D11:E11"/>
    <mergeCell ref="D9:E9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zoomScaleNormal="100" workbookViewId="0">
      <selection activeCell="J14" sqref="J14"/>
    </sheetView>
  </sheetViews>
  <sheetFormatPr baseColWidth="8" defaultColWidth="8.6640625" defaultRowHeight="14.4"/>
  <cols>
    <col width="3" customWidth="1" min="1" max="1"/>
    <col width="16" customWidth="1" min="2" max="2"/>
    <col width="18" customWidth="1" min="3" max="5"/>
    <col width="30" customWidth="1" min="6" max="6"/>
  </cols>
  <sheetData>
    <row r="1" ht="20.4" customHeight="1">
      <c r="A1" s="49" t="inlineStr">
        <is>
          <t>ชั้นความน่าเชื่อถือ : การทวนสอบกับข้อมูลจริง</t>
        </is>
      </c>
      <c r="B1" s="58" t="n"/>
      <c r="C1" s="58" t="n"/>
      <c r="D1" s="58" t="n"/>
      <c r="E1" s="58" t="n"/>
      <c r="F1" s="58" t="n"/>
    </row>
    <row r="2">
      <c r="A2" s="48" t="inlineStr">
        <is>
          <t>เทียบโมเดลกับข้อมูลจริง พร้อมตัวชี้วัด MAPE / RMSE และสถานะ cross-validation อย่างตรงไปตรงมา</t>
        </is>
      </c>
      <c r="B2" s="51" t="n"/>
      <c r="C2" s="58" t="n"/>
      <c r="D2" s="58" t="n"/>
      <c r="E2" s="58" t="n"/>
      <c r="F2" s="58" t="n"/>
    </row>
    <row r="3">
      <c r="A3" s="58" t="n"/>
      <c r="B3" s="58" t="n"/>
      <c r="C3" s="58" t="n"/>
      <c r="D3" s="58" t="n"/>
      <c r="E3" s="58" t="n"/>
      <c r="F3" s="58" t="n"/>
    </row>
    <row r="4">
      <c r="A4" s="58" t="n"/>
      <c r="B4" s="69" t="inlineStr">
        <is>
          <t>A. ชั้น Adoption — S-curve เทียบยอด BEV จริง (FTI/Autolife)</t>
        </is>
      </c>
      <c r="C4" s="58" t="n"/>
      <c r="D4" s="58" t="n"/>
      <c r="E4" s="58" t="n"/>
      <c r="F4" s="58" t="n"/>
    </row>
    <row r="5">
      <c r="A5" s="58" t="n"/>
      <c r="B5" s="2" t="inlineStr">
        <is>
          <t>ปี</t>
        </is>
      </c>
      <c r="C5" s="2" t="inlineStr">
        <is>
          <t>คาดการณ์ %</t>
        </is>
      </c>
      <c r="D5" s="2" t="inlineStr">
        <is>
          <t>จริง %</t>
        </is>
      </c>
      <c r="E5" s="2" t="inlineStr">
        <is>
          <t>คลาดเคลื่อน (pp)</t>
        </is>
      </c>
      <c r="F5" s="2" t="inlineStr">
        <is>
          <t>แหล่งอ้างอิง</t>
        </is>
      </c>
    </row>
    <row r="6">
      <c r="A6" s="58" t="n"/>
      <c r="B6" s="36" t="inlineStr">
        <is>
          <t>2566 (2023)</t>
        </is>
      </c>
      <c r="C6" s="37" t="n">
        <v>0.142</v>
      </c>
      <c r="D6" s="38" t="n">
        <v>0.15</v>
      </c>
      <c r="E6" s="39">
        <f>(C6-D6)*100</f>
        <v/>
      </c>
      <c r="F6" s="40" t="inlineStr">
        <is>
          <t>76,500 คัน BEV</t>
        </is>
      </c>
    </row>
    <row r="7">
      <c r="A7" s="58" t="n"/>
      <c r="B7" s="36" t="inlineStr">
        <is>
          <t>2567 (2024)</t>
        </is>
      </c>
      <c r="C7" s="37" t="n">
        <v>0.164</v>
      </c>
      <c r="D7" s="38" t="n">
        <v>0.14</v>
      </c>
      <c r="E7" s="39">
        <f>(C7-D7)*100</f>
        <v/>
      </c>
      <c r="F7" s="40" t="inlineStr">
        <is>
          <t>70,137 คัน (เปลี่ยนเงินอุดหนุน)</t>
        </is>
      </c>
    </row>
    <row r="8">
      <c r="A8" s="58" t="n"/>
      <c r="B8" s="36" t="inlineStr">
        <is>
          <t>2568 (2025)</t>
        </is>
      </c>
      <c r="C8" s="37" t="n">
        <v>0.189</v>
      </c>
      <c r="D8" s="38" t="n">
        <v>0.194</v>
      </c>
      <c r="E8" s="39">
        <f>(C8-D8)*100</f>
        <v/>
      </c>
      <c r="F8" s="40" t="inlineStr">
        <is>
          <t>120,301 คัน (FTI เต็มปี)</t>
        </is>
      </c>
    </row>
    <row r="9" ht="26.4" customHeight="1">
      <c r="A9" s="58" t="n"/>
      <c r="B9" s="41" t="inlineStr">
        <is>
          <t>MAPE (เฉลี่ย % คลาดเคลื่อน)</t>
        </is>
      </c>
      <c r="C9" s="42">
        <f>AVERAGE(ABS(C6-D6)/D6,ABS(C7-D7)/D7,ABS(C8-D8)/D8)</f>
        <v/>
      </c>
      <c r="D9" s="58" t="n"/>
      <c r="E9" s="58" t="n"/>
      <c r="F9" s="58" t="n"/>
    </row>
    <row r="10">
      <c r="A10" s="58" t="n"/>
      <c r="B10" s="41" t="inlineStr">
        <is>
          <t>RMSE (pp)</t>
        </is>
      </c>
      <c r="C10" s="43">
        <f>SQRT(AVERAGE(E6^2,E7^2,E8^2))</f>
        <v/>
      </c>
      <c r="D10" s="58" t="n"/>
      <c r="E10" s="58" t="n"/>
      <c r="F10" s="58" t="n"/>
    </row>
    <row r="11">
      <c r="A11" s="58" t="n"/>
      <c r="B11" s="58" t="n"/>
      <c r="C11" s="58" t="n"/>
      <c r="D11" s="58" t="n"/>
      <c r="E11" s="58" t="n"/>
      <c r="F11" s="58" t="n"/>
    </row>
    <row r="12">
      <c r="A12" s="58" t="n"/>
      <c r="B12" s="69" t="inlineStr">
        <is>
          <t>B. ชั้น Station — เทียบกับ temporary calibration anchor</t>
        </is>
      </c>
      <c r="C12" s="58" t="n"/>
      <c r="D12" s="58" t="n"/>
      <c r="E12" s="58" t="n"/>
      <c r="F12" s="58" t="n"/>
    </row>
    <row r="13">
      <c r="A13" s="58" t="n"/>
      <c r="B13" s="2" t="inlineStr">
        <is>
          <t>สถานี</t>
        </is>
      </c>
      <c r="C13" s="2" t="inlineStr">
        <is>
          <t>จริง (ครั้ง/วัน)</t>
        </is>
      </c>
      <c r="D13" s="2" t="inlineStr">
        <is>
          <t>โมเดล (ครั้ง/วัน)</t>
        </is>
      </c>
      <c r="E13" s="2" t="inlineStr">
        <is>
          <t>คลาดเคลื่อน</t>
        </is>
      </c>
      <c r="F13" s="2" t="inlineStr">
        <is>
          <t>แหล่ง</t>
        </is>
      </c>
    </row>
    <row r="14" ht="26.4" customHeight="1">
      <c r="A14" s="58" t="n"/>
      <c r="B14" s="13" t="inlineStr">
        <is>
          <t>CM Cultural Center Hub</t>
        </is>
      </c>
      <c r="C14" s="44" t="n">
        <v>130</v>
      </c>
      <c r="D14" s="45" t="n">
        <v>130</v>
      </c>
      <c r="E14" s="37">
        <f>ABS(D14-C14)/C14</f>
        <v/>
      </c>
      <c r="F14" s="40" t="inlineStr">
        <is>
          <t>Operator-reported / verbal anchor 2026; ยังไม่ยืนยันด้วย session log</t>
        </is>
      </c>
    </row>
    <row r="15">
      <c r="A15" s="58" t="n"/>
      <c r="B15" s="58" t="n"/>
      <c r="C15" s="58" t="n"/>
      <c r="D15" s="58" t="n"/>
      <c r="E15" s="58" t="n"/>
      <c r="F15" s="58" t="n"/>
    </row>
    <row r="16" ht="15" customHeight="1">
      <c r="A16" s="58" t="n"/>
      <c r="B16" s="67" t="inlineStr">
        <is>
          <t>ความซื่อสัตย์ของการทวนสอบ: station layer ยังมี temporary calibration anchor 1 จุด. v5 คำนวณ factor ใหม่หลังใช้ DLT seed: raw 318 ครั้ง/วัน, anchor 130 =&gt; factor 0.409; ควรแสดง sensitivity 130/200/300 แทนการยืนยันค่าเดียว</t>
        </is>
      </c>
    </row>
    <row r="17">
      <c r="A17" s="58" t="n"/>
    </row>
    <row r="18">
      <c r="A18" s="58" t="n"/>
    </row>
  </sheetData>
  <mergeCells count="1">
    <mergeCell ref="B16:F18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zoomScale="71" zoomScaleNormal="71" workbookViewId="0">
      <selection activeCell="N7" sqref="N7"/>
    </sheetView>
  </sheetViews>
  <sheetFormatPr baseColWidth="8" defaultColWidth="8.6640625" defaultRowHeight="14.4"/>
  <cols>
    <col width="3" customWidth="1" min="1" max="1"/>
    <col width="26" customWidth="1" min="2" max="2"/>
    <col width="42" customWidth="1" min="3" max="4"/>
  </cols>
  <sheetData>
    <row r="1" ht="20.4" customHeight="1">
      <c r="A1" s="49" t="inlineStr">
        <is>
          <t>TH-EVI เทียบกับ NREL EVI-Pro</t>
        </is>
      </c>
      <c r="B1" s="58" t="n"/>
      <c r="C1" s="58" t="n"/>
      <c r="D1" s="58" t="n"/>
    </row>
    <row r="2">
      <c r="A2" s="48" t="n"/>
      <c r="B2" s="51" t="inlineStr">
        <is>
          <t>หลักการบางส่วนสอดคล้องกับ NREL EVI-Pro/EVI-X แต่ TH-EVI ยังเป็น transparent screening model ที่ต้องเพิ่ม station ground truth</t>
        </is>
      </c>
      <c r="C2" s="58" t="n"/>
      <c r="D2" s="58" t="n"/>
    </row>
    <row r="3">
      <c r="A3" s="58" t="n"/>
      <c r="B3" s="58" t="n"/>
      <c r="C3" s="58" t="n"/>
      <c r="D3" s="58" t="n"/>
    </row>
    <row r="4">
      <c r="A4" s="58" t="n"/>
      <c r="B4" s="2" t="inlineStr">
        <is>
          <t>หัวข้อ</t>
        </is>
      </c>
      <c r="C4" s="2" t="inlineStr">
        <is>
          <t>NREL EVI-Pro</t>
        </is>
      </c>
      <c r="D4" s="2" t="inlineStr">
        <is>
          <t>TH-EVI (ของเรา)</t>
        </is>
      </c>
    </row>
    <row r="5" ht="45.75" customHeight="1">
      <c r="A5" s="58" t="n"/>
      <c r="B5" s="7" t="inlineStr">
        <is>
          <t>แนวคิดหลัก</t>
        </is>
      </c>
      <c r="C5" s="4" t="inlineStr">
        <is>
          <t>ประมาณความต้องการโครงสร้างชาร์จจากพฤติกรรมการเดินทางของกลุ่มรถ EV</t>
        </is>
      </c>
      <c r="D5" s="8" t="inlineStr">
        <is>
          <t>ใช้แนวคิดเดียวกัน: กลุ่มรถ EV → ความต้องการชาร์จเชิงพื้นที่/เวลา</t>
        </is>
      </c>
    </row>
    <row r="6" ht="45.75" customHeight="1">
      <c r="A6" s="58" t="n"/>
      <c r="B6" s="7" t="inlineStr">
        <is>
          <t>ข้อมูลกองรถ</t>
        </is>
      </c>
      <c r="C6" s="4" t="inlineStr">
        <is>
          <t>ข้อมูลสำรวจการเดินทางสหรัฐ (NHTS), การจดทะเบียนรัฐ</t>
        </is>
      </c>
      <c r="D6" s="8" t="inlineStr">
        <is>
          <t>DOPA 2568, DLT เม.ย. 2569, FTI/Autolife, DOH AADT 2566; station usage ยังเป็น temporary anchor</t>
        </is>
      </c>
    </row>
    <row r="7" ht="45.75" customHeight="1">
      <c r="A7" s="58" t="n"/>
      <c r="B7" s="7" t="inlineStr">
        <is>
          <t>พยากรณ์การยอมรับ</t>
        </is>
      </c>
      <c r="C7" s="4" t="inlineStr">
        <is>
          <t>ฉากทัศน์ภายนอก</t>
        </is>
      </c>
      <c r="D7" s="8" t="inlineStr">
        <is>
          <t>S-curve logistic calibrate กับข้อมูล FTI รายปี (MAPE 8.5%)</t>
        </is>
      </c>
    </row>
    <row r="8" ht="45.75" customHeight="1">
      <c r="A8" s="58" t="n"/>
      <c r="B8" s="7" t="inlineStr">
        <is>
          <t>ปริมาณจราจร</t>
        </is>
      </c>
      <c r="C8" s="4" t="inlineStr">
        <is>
          <t>แบบจำลองการเดินทางระดับเขต</t>
        </is>
      </c>
      <c r="D8" s="8" t="inlineStr">
        <is>
          <t>AADT จริงจากกรมทางหลวง (DOH) รายเส้นทาง</t>
        </is>
      </c>
    </row>
    <row r="9" ht="45.75" customHeight="1">
      <c r="A9" s="58" t="n"/>
      <c r="B9" s="7" t="inlineStr">
        <is>
          <t>การจัดคิว/หัวชาร์จ</t>
        </is>
      </c>
      <c r="C9" s="4" t="inlineStr">
        <is>
          <t>จำลองพฤติกรรมการเสียบชาร์จ</t>
        </is>
      </c>
      <c r="D9" s="8" t="inlineStr">
        <is>
          <t>Erlang-C คิดระดับบริการ (P(wait)≤10%, รอ&lt;10 นาที)</t>
        </is>
      </c>
    </row>
    <row r="10" ht="45.75" customHeight="1">
      <c r="A10" s="58" t="n"/>
      <c r="B10" s="7" t="inlineStr">
        <is>
          <t>การปรับเทียบ</t>
        </is>
      </c>
      <c r="C10" s="4" t="inlineStr">
        <is>
          <t>calibrate กับข้อมูลใช้งานจริงขนาดใหญ่</t>
        </is>
      </c>
      <c r="D10" s="8" t="inlineStr">
        <is>
          <t>temporary calibration factor ที่ rebased จาก DLT seed: 0.409 สำหรับ anchor 130; sensitivity 0.629/0.943 สำหรับ 200/300; แผนขยายเป็น LOO CV เมื่อมี session log หลายสถานี</t>
        </is>
      </c>
    </row>
    <row r="11" ht="45.75" customHeight="1">
      <c r="A11" s="58" t="n"/>
      <c r="B11" s="7" t="inlineStr">
        <is>
          <t>ความโปร่งใส</t>
        </is>
      </c>
      <c r="C11" s="4" t="inlineStr">
        <is>
          <t>เอกสารวิชาการ + เครื่องมือ</t>
        </is>
      </c>
      <c r="D11" s="8" t="inlineStr">
        <is>
          <t>ทุกสมมติฐานเปิดในชีตเดียว แก้แล้วทั้งโมเดลอัปเดต</t>
        </is>
      </c>
    </row>
    <row r="12">
      <c r="A12" s="58" t="n"/>
      <c r="B12" s="58" t="n"/>
      <c r="C12" s="58" t="n"/>
      <c r="D12" s="58" t="n"/>
    </row>
    <row r="13" ht="43.5" customHeight="1">
      <c r="A13" s="58" t="n"/>
      <c r="B13" s="68" t="inlineStr">
        <is>
          <t>สรุป: TH-EVI เป็น NREL-inspired transparent screening model ไม่ใช่ NREL full simulation. ชั้น public data (DOPA/DLT/AADT) ได้ verify แล้วใน v3; ชั้น station calibration ยังต้องเพิ่มข้อมูลจริงเพื่อยืนยันความแม่นยำ</t>
        </is>
      </c>
    </row>
  </sheetData>
  <mergeCells count="1">
    <mergeCell ref="B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D27" sqref="D27"/>
    </sheetView>
  </sheetViews>
  <sheetFormatPr baseColWidth="8" defaultRowHeight="14.4"/>
  <cols>
    <col width="14" customWidth="1" min="1" max="1"/>
    <col width="42" customWidth="1" min="2" max="2"/>
    <col width="18" customWidth="1" min="3" max="3"/>
    <col width="14" customWidth="1" min="4" max="4"/>
    <col width="24" customWidth="1" min="5" max="5"/>
    <col width="14" customWidth="1" min="6" max="6"/>
    <col width="58" customWidth="1" min="7" max="7"/>
  </cols>
  <sheetData>
    <row r="1">
      <c r="A1" s="54" t="inlineStr">
        <is>
          <t>หมวด</t>
        </is>
      </c>
      <c r="B1" s="54" t="inlineStr">
        <is>
          <t>รายการ</t>
        </is>
      </c>
      <c r="C1" s="54" t="inlineStr">
        <is>
          <t>ค่า</t>
        </is>
      </c>
      <c r="D1" s="54" t="inlineStr">
        <is>
          <t>หน่วย</t>
        </is>
      </c>
      <c r="E1" s="54" t="inlineStr">
        <is>
          <t>แหล่งที่มา</t>
        </is>
      </c>
      <c r="F1" s="54" t="inlineStr">
        <is>
          <t>สถานะ</t>
        </is>
      </c>
      <c r="G1" s="54" t="inlineStr">
        <is>
          <t>หมายเหตุ</t>
        </is>
      </c>
    </row>
    <row r="2">
      <c r="A2" s="55" t="inlineStr">
        <is>
          <t>DOPA</t>
        </is>
      </c>
      <c r="B2" s="55" t="inlineStr">
        <is>
          <t>ประชากรจังหวัดเชียงใหม่</t>
        </is>
      </c>
      <c r="C2" s="55" t="n">
        <v>1798588</v>
      </c>
      <c r="D2" s="55" t="inlineStr">
        <is>
          <t>คน</t>
        </is>
      </c>
      <c r="E2" s="55" t="inlineStr">
        <is>
          <t>DOPA 2568</t>
        </is>
      </c>
      <c r="F2" s="55" t="inlineStr">
        <is>
          <t>Verified</t>
        </is>
      </c>
      <c r="G2" s="55" t="inlineStr">
        <is>
          <t>ครัวเรือน 916,688</t>
        </is>
      </c>
    </row>
    <row r="3">
      <c r="A3" s="56" t="inlineStr">
        <is>
          <t>DLT</t>
        </is>
      </c>
      <c r="B3" s="56" t="inlineStr">
        <is>
          <t>รย.1 รถยนต์นั่งรวม</t>
        </is>
      </c>
      <c r="C3" s="56" t="n">
        <v>453310</v>
      </c>
      <c r="D3" s="56" t="inlineStr">
        <is>
          <t>คัน</t>
        </is>
      </c>
      <c r="E3" s="56" t="inlineStr">
        <is>
          <t>DLT 30 เม.ย. 2569</t>
        </is>
      </c>
      <c r="F3" s="56" t="inlineStr">
        <is>
          <t>Verified</t>
        </is>
      </c>
      <c r="G3" s="56" t="inlineStr">
        <is>
          <t>denominator หลักสำหรับ passenger-car EV share</t>
        </is>
      </c>
    </row>
    <row r="4">
      <c r="A4" s="55" t="inlineStr">
        <is>
          <t>DLT</t>
        </is>
      </c>
      <c r="B4" s="55" t="inlineStr">
        <is>
          <t>รย.1 BEV</t>
        </is>
      </c>
      <c r="C4" s="55" t="n">
        <v>13089</v>
      </c>
      <c r="D4" s="55" t="inlineStr">
        <is>
          <t>คัน</t>
        </is>
      </c>
      <c r="E4" s="55" t="inlineStr">
        <is>
          <t>DLT 30 เม.ย. 2569</t>
        </is>
      </c>
      <c r="F4" s="55" t="inlineStr">
        <is>
          <t>Verified</t>
        </is>
      </c>
      <c r="G4" s="55" t="inlineStr">
        <is>
          <t>BEV share 2.89%</t>
        </is>
      </c>
    </row>
    <row r="5">
      <c r="A5" s="56" t="inlineStr">
        <is>
          <t>DLT</t>
        </is>
      </c>
      <c r="B5" s="56" t="inlineStr">
        <is>
          <t>รย.1 PHEV</t>
        </is>
      </c>
      <c r="C5" s="56" t="n">
        <v>2140</v>
      </c>
      <c r="D5" s="56" t="inlineStr">
        <is>
          <t>คัน</t>
        </is>
      </c>
      <c r="E5" s="56" t="inlineStr">
        <is>
          <t>DLT 30 เม.ย. 2569</t>
        </is>
      </c>
      <c r="F5" s="56" t="inlineStr">
        <is>
          <t>Verified</t>
        </is>
      </c>
      <c r="G5" s="56" t="inlineStr">
        <is>
          <t>PHEV gasoline + PHEV diesel</t>
        </is>
      </c>
    </row>
    <row r="6">
      <c r="A6" s="55" t="inlineStr">
        <is>
          <t>DLT</t>
        </is>
      </c>
      <c r="B6" s="55" t="inlineStr">
        <is>
          <t>รย.1 BEV+PHEV</t>
        </is>
      </c>
      <c r="C6" s="55" t="n">
        <v>15229</v>
      </c>
      <c r="D6" s="55" t="inlineStr">
        <is>
          <t>คัน</t>
        </is>
      </c>
      <c r="E6" s="55" t="inlineStr">
        <is>
          <t>DLT 30 เม.ย. 2569</t>
        </is>
      </c>
      <c r="F6" s="55" t="inlineStr">
        <is>
          <t>Verified</t>
        </is>
      </c>
      <c r="G6" s="55" t="inlineStr">
        <is>
          <t>chargeable EV stock = 3.36% ของ รย.1</t>
        </is>
      </c>
    </row>
    <row r="7">
      <c r="A7" s="56" t="inlineStr">
        <is>
          <t>DLT</t>
        </is>
      </c>
      <c r="B7" s="56" t="inlineStr">
        <is>
          <t>รถตามกฎหมายรถยนต์ BEV+PHEV</t>
        </is>
      </c>
      <c r="C7" s="56" t="n">
        <v>18189</v>
      </c>
      <c r="D7" s="56" t="inlineStr">
        <is>
          <t>คัน</t>
        </is>
      </c>
      <c r="E7" s="56" t="inlineStr">
        <is>
          <t>DLT 30 เม.ย. 2569</t>
        </is>
      </c>
      <c r="F7" s="56" t="inlineStr">
        <is>
          <t>Verified</t>
        </is>
      </c>
      <c r="G7" s="56" t="inlineStr">
        <is>
          <t>ภาพรวมรถตามกฎหมายว่าด้วยรถยนต์</t>
        </is>
      </c>
    </row>
    <row r="8">
      <c r="A8" s="55" t="inlineStr">
        <is>
          <t>AADT</t>
        </is>
      </c>
      <c r="B8" s="55" t="inlineStr">
        <is>
          <t>Route 1141 ดอนจั่น-เชียงใหม่ 7+000</t>
        </is>
      </c>
      <c r="C8" s="55" t="n">
        <v>118853</v>
      </c>
      <c r="D8" s="55" t="inlineStr">
        <is>
          <t>คัน/วัน</t>
        </is>
      </c>
      <c r="E8" s="55" t="inlineStr">
        <is>
          <t>DOH AADT 2566</t>
        </is>
      </c>
      <c r="F8" s="55" t="inlineStr">
        <is>
          <t>Verified</t>
        </is>
      </c>
      <c r="G8" s="55" t="inlineStr">
        <is>
          <t>ค่าสูงสุดในเชียงใหม่ชุดปัจจุบัน</t>
        </is>
      </c>
    </row>
    <row r="9">
      <c r="A9" s="56" t="inlineStr">
        <is>
          <t>AADT</t>
        </is>
      </c>
      <c r="B9" s="56" t="inlineStr">
        <is>
          <t>Route 118 เชียงใหม่-ดอยนางแก้ว 0+500</t>
        </is>
      </c>
      <c r="C9" s="56" t="n">
        <v>78356</v>
      </c>
      <c r="D9" s="56" t="inlineStr">
        <is>
          <t>คัน/วัน</t>
        </is>
      </c>
      <c r="E9" s="56" t="inlineStr">
        <is>
          <t>DOH AADT 2566</t>
        </is>
      </c>
      <c r="F9" s="56" t="inlineStr">
        <is>
          <t>Verified</t>
        </is>
      </c>
      <c r="G9" s="56" t="inlineStr">
        <is>
          <t>corridor เชียงใหม่-เชียงราย</t>
        </is>
      </c>
    </row>
    <row r="10">
      <c r="A10" s="55" t="inlineStr">
        <is>
          <t>AADT</t>
        </is>
      </c>
      <c r="B10" s="55" t="inlineStr">
        <is>
          <t>Route 11 อุโมงค์-รินคำ 543+850</t>
        </is>
      </c>
      <c r="C10" s="55" t="n">
        <v>69988</v>
      </c>
      <c r="D10" s="55" t="inlineStr">
        <is>
          <t>คัน/วัน</t>
        </is>
      </c>
      <c r="E10" s="55" t="inlineStr">
        <is>
          <t>DOH AADT 2566</t>
        </is>
      </c>
      <c r="F10" s="55" t="inlineStr">
        <is>
          <t>Verified</t>
        </is>
      </c>
      <c r="G10" s="55" t="inlineStr">
        <is>
          <t>urban/corridor core</t>
        </is>
      </c>
    </row>
    <row r="11">
      <c r="A11" s="56" t="inlineStr">
        <is>
          <t>AADT</t>
        </is>
      </c>
      <c r="B11" s="56" t="inlineStr">
        <is>
          <t>Route 108 เชียงใหม่-ปากทางท่าลี่ 7+650</t>
        </is>
      </c>
      <c r="C11" s="56" t="n">
        <v>60644</v>
      </c>
      <c r="D11" s="56" t="inlineStr">
        <is>
          <t>คัน/วัน</t>
        </is>
      </c>
      <c r="E11" s="56" t="inlineStr">
        <is>
          <t>DOH AADT 2566</t>
        </is>
      </c>
      <c r="F11" s="56" t="inlineStr">
        <is>
          <t>Verified</t>
        </is>
      </c>
      <c r="G11" s="56" t="inlineStr">
        <is>
          <t>south/west corridor</t>
        </is>
      </c>
    </row>
    <row r="12" ht="27.6" customHeight="1">
      <c r="A12" s="55" t="inlineStr">
        <is>
          <t>Station</t>
        </is>
      </c>
      <c r="B12" s="55" t="inlineStr">
        <is>
          <t>CM Cultural Center anchor</t>
        </is>
      </c>
      <c r="C12" s="55" t="inlineStr">
        <is>
          <t>130 / 200-300 sensitivity</t>
        </is>
      </c>
      <c r="D12" s="55" t="inlineStr">
        <is>
          <t>ครั้ง/วัน</t>
        </is>
      </c>
      <c r="E12" s="55" t="inlineStr">
        <is>
          <t>operator-reported/verbal</t>
        </is>
      </c>
      <c r="F12" s="55" t="inlineStr">
        <is>
          <t>Unverified</t>
        </is>
      </c>
      <c r="G12" s="55" t="inlineStr">
        <is>
          <t>ไม่ควรใช้เป็น ground truth จนกว่าจะได้ log จริง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80" customWidth="1" min="3" max="3"/>
  </cols>
  <sheetData>
    <row r="1">
      <c r="A1" s="46" t="inlineStr">
        <is>
          <t>ระดับ</t>
        </is>
      </c>
      <c r="B1" s="46" t="inlineStr">
        <is>
          <t>ประเด็น</t>
        </is>
      </c>
      <c r="C1" s="46" t="inlineStr">
        <is>
          <t>คำแนะนำ</t>
        </is>
      </c>
    </row>
    <row r="2" ht="27.6" customHeight="1">
      <c r="A2" s="47" t="inlineStr">
        <is>
          <t>สำคัญมาก</t>
        </is>
      </c>
      <c r="B2" s="47" t="inlineStr">
        <is>
          <t>130 ครั้ง/วัน ยังไม่ใช่ ground truth</t>
        </is>
      </c>
      <c r="C2" s="47" t="inlineStr">
        <is>
          <t>ให้เรียกว่า temporary calibration anchor และทำ sensitivity 130 / 200 / 300 ครั้งต่อวัน ก่อนให้ที่ปรึกษาปรับโมเดล</t>
        </is>
      </c>
    </row>
    <row r="3">
      <c r="A3" s="47" t="inlineStr">
        <is>
          <t>สำคัญมาก</t>
        </is>
      </c>
      <c r="B3" s="47" t="inlineStr">
        <is>
          <t>Station validation ยัง just-identified</t>
        </is>
      </c>
      <c r="C3" s="47" t="inlineStr">
        <is>
          <t>มีข้อมูลสถานี 1 จุดและ calibration factor 1 ตัว จึง fit ได้พอดีแต่ยังวัดความแม่นนอกตัวอย่างไม่ได้</t>
        </is>
      </c>
    </row>
    <row r="4" ht="27.6" customHeight="1">
      <c r="A4" s="47" t="inlineStr">
        <is>
          <t>สำคัญ</t>
        </is>
      </c>
      <c r="B4" s="47" t="inlineStr">
        <is>
          <t>ประโยค 'ทุกตัวเลขมาจากแหล่งเปิดที่ตรวจสอบได้' overclaim</t>
        </is>
      </c>
      <c r="C4" s="47" t="inlineStr">
        <is>
          <t>ควรแยก public reference data กับ operator-reported/unverified station data</t>
        </is>
      </c>
    </row>
    <row r="5" ht="27.6" customHeight="1">
      <c r="A5" s="47" t="inlineStr">
        <is>
          <t>สำคัญ</t>
        </is>
      </c>
      <c r="B5" s="47" t="inlineStr">
        <is>
          <t>S-curve ย้อนหลังทำให้ปี 2018-2022 มี BEV share สูงเกินจริง</t>
        </is>
      </c>
      <c r="C5" s="47" t="inlineStr">
        <is>
          <t>ควรพิจารณาเริ่มสะสม EV จากปีที่มีข้อมูลจริง หรือ seed ด้วย DLT BEV stock แล้ว forecast ต่อ</t>
        </is>
      </c>
    </row>
    <row r="6">
      <c r="A6" s="47" t="inlineStr">
        <is>
          <t>กลาง</t>
        </is>
      </c>
      <c r="B6" s="47" t="inlineStr">
        <is>
          <t>Scrappage wording ไม่ตรงกับสูตร</t>
        </is>
      </c>
      <c r="C6" s="47" t="inlineStr">
        <is>
          <t>สูตรเป็น cohort retirement หลัง 14 ปี ไม่ใช่ linear scrappage; ให้แก้คำหรือปรับสูตร</t>
        </is>
      </c>
    </row>
    <row r="7">
      <c r="A7" s="47" t="inlineStr">
        <is>
          <t>กลาง</t>
        </is>
      </c>
      <c r="B7" s="47" t="inlineStr">
        <is>
          <t>NREL wording</t>
        </is>
      </c>
      <c r="C7" s="47" t="inlineStr">
        <is>
          <t>ใช้คำว่า NREL-inspired / EVI-Pro/EVI-X screening model ไม่ควรสื่อว่าเทียบเท่า NREL full simulation</t>
        </is>
      </c>
    </row>
    <row r="8" ht="27.6" customHeight="1">
      <c r="A8" s="47" t="inlineStr">
        <is>
          <t>ควรเพิ่ม</t>
        </is>
      </c>
      <c r="B8" s="47" t="inlineStr">
        <is>
          <t>Sensitivity sheet</t>
        </is>
      </c>
      <c r="C8" s="47" t="inlineStr">
        <is>
          <t>เพิ่มตารางผล station demand เมื่อ anchor = 130, 200, 300 เพื่อให้ที่ปรึกษาเห็นผลของ calibration uncertainty</t>
        </is>
      </c>
    </row>
    <row r="9" ht="28.8" customHeight="1">
      <c r="A9" s="58" t="inlineStr">
        <is>
          <t>แก้แล้วใน v3</t>
        </is>
      </c>
      <c r="B9" s="58" t="inlineStr">
        <is>
          <t>DLT/DOPA/AADT verified sheet</t>
        </is>
      </c>
      <c r="C9" s="58" t="inlineStr">
        <is>
          <t>เพิ่มชีต 7.Data Verification และแก้ passenger fleet เชียงใหม่จาก 350,000 เป็น DLT รย.1 453,310 คัน</t>
        </is>
      </c>
    </row>
    <row r="10">
      <c r="A10" s="58" t="inlineStr">
        <is>
          <t>แก้แล้วใน v3</t>
        </is>
      </c>
      <c r="B10" s="58" t="inlineStr">
        <is>
          <t>Station anchor wording</t>
        </is>
      </c>
      <c r="C10" s="58" t="inlineStr">
        <is>
          <t>ระบุว่า 130 ครั้ง/วันยังไม่ยืนยัน และควรทำ sensitivity 130/200/300</t>
        </is>
      </c>
    </row>
    <row r="11">
      <c r="A11" s="58" t="inlineStr">
        <is>
          <t>แก้แล้วใน v4</t>
        </is>
      </c>
      <c r="B11" s="58" t="inlineStr">
        <is>
          <t>S-curve ใช้ DLT stock เป็น seed</t>
        </is>
      </c>
      <c r="C11" s="58" t="inlineStr">
        <is>
          <t>ปี 2026 ในตาราง adoption ถูกตรึงด้วย DLT BEV+PHEV 15,229 คัน; ค่า 6,200 เหลือเป็น legacy placeholder สำหรับ new-car scaling</t>
        </is>
      </c>
    </row>
    <row r="12">
      <c r="A12" s="58" t="inlineStr">
        <is>
          <t>แก้แล้วใน v5</t>
        </is>
      </c>
      <c r="B12" s="58" t="inlineStr">
        <is>
          <t>Rebase calibration factor หลังใช้ DLT seed</t>
        </is>
      </c>
      <c r="C12" s="58" t="inlineStr">
        <is>
          <t>ค่า 0.657 มาจากโมเดลก่อนใช้ DLT seed. v5 ปรับเป็น 0.409 สำหรับ anchor 130 จาก raw demand 318 ครั้ง/วัน และเพิ่ม sensitivity 200/300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2026-06-02T06:26:59Z</dcterms:created>
  <dcterms:modified xmlns:dcterms="http://purl.org/dc/terms/" xmlns:xsi="http://www.w3.org/2001/XMLSchema-instance" xsi:type="dcterms:W3CDTF">2026-06-02T07:43:07Z</dcterms:modified>
  <cp:lastModifiedBy>t. wanlop</cp:lastModifiedBy>
  <cp:revision>0</cp:revision>
</cp:coreProperties>
</file>